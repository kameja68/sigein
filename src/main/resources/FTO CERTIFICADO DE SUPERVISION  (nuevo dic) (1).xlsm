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57313\OneDrive\Documentos\BANCO-DE-CODIGO\sisitema_gestion_informes\src\main\resources\"/>
    </mc:Choice>
  </mc:AlternateContent>
  <xr:revisionPtr revIDLastSave="0" documentId="13_ncr:1_{648A7CC2-5563-4C77-BDB5-C633DA06853A}" xr6:coauthVersionLast="47" xr6:coauthVersionMax="47" xr10:uidLastSave="{00000000-0000-0000-0000-000000000000}"/>
  <bookViews>
    <workbookView xWindow="-120" yWindow="-120" windowWidth="20730" windowHeight="11040" tabRatio="754" xr2:uid="{00000000-000D-0000-FFFF-FFFF00000000}"/>
  </bookViews>
  <sheets>
    <sheet name="CERTIFICACION SUPERVISION" sheetId="8" r:id="rId1"/>
    <sheet name=" CUMPLIMIENTO CONTRATISTA" sheetId="11" r:id="rId2"/>
    <sheet name="DOC. EQUIVALENTE FACTURA" sheetId="12" r:id="rId3"/>
    <sheet name="INFORME ACTIVIDADES" sheetId="14" r:id="rId4"/>
  </sheets>
  <functionGroups builtInGroupCount="19"/>
  <definedNames>
    <definedName name="_xlnm.Print_Area" localSheetId="1">' CUMPLIMIENTO CONTRATISTA'!$A$1:$AX$80</definedName>
    <definedName name="_xlnm.Print_Area" localSheetId="0">'CERTIFICACION SUPERVISION'!$A$1:$AP$111</definedName>
    <definedName name="_xlnm.Print_Area" localSheetId="2">'DOC. EQUIVALENTE FACTURA'!$A$1:$K$39</definedName>
    <definedName name="_xlnm.Print_Area" localSheetId="3">'INFORME ACTIVIDADES'!$A$2:$R$24</definedName>
    <definedName name="MOD_CONT">'CERTIFICACION SUPERVISION'!$AB$117:$AB$124</definedName>
    <definedName name="SIGLA_MOD_CONT">'CERTIFICACION SUPERVISION'!$AA$117:$AA$124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0" i="8" l="1"/>
  <c r="W20" i="8" s="1"/>
  <c r="L6" i="8"/>
  <c r="AF20" i="8"/>
  <c r="M39" i="11" l="1"/>
  <c r="J42" i="8" l="1"/>
  <c r="AF39" i="8"/>
  <c r="R42" i="8"/>
  <c r="T28" i="8" l="1"/>
  <c r="J46" i="8"/>
  <c r="F7" i="14" l="1"/>
  <c r="AE46" i="8"/>
  <c r="E3" i="14"/>
  <c r="E5" i="14"/>
  <c r="O3" i="14"/>
  <c r="D19" i="12"/>
  <c r="D23" i="12"/>
  <c r="G11" i="11"/>
  <c r="D28" i="12" s="1"/>
  <c r="D21" i="12"/>
  <c r="A14" i="12"/>
  <c r="C14" i="12"/>
  <c r="D30" i="12"/>
  <c r="D32" i="12"/>
  <c r="C7" i="12"/>
  <c r="C3" i="12"/>
  <c r="K4" i="12"/>
  <c r="J4" i="12"/>
  <c r="G9" i="11"/>
  <c r="F76" i="11" s="1"/>
  <c r="E36" i="12" s="1"/>
  <c r="G10" i="11"/>
  <c r="J12" i="12" l="1"/>
  <c r="D7" i="14"/>
  <c r="D25" i="12"/>
</calcChain>
</file>

<file path=xl/sharedStrings.xml><?xml version="1.0" encoding="utf-8"?>
<sst xmlns="http://schemas.openxmlformats.org/spreadsheetml/2006/main" count="1374" uniqueCount="1306">
  <si>
    <t>Año:</t>
  </si>
  <si>
    <t>Modalidad de Contrato:</t>
  </si>
  <si>
    <t>Ha habido modificaciones al Contrato?</t>
  </si>
  <si>
    <t>NO</t>
  </si>
  <si>
    <t xml:space="preserve">         En que consisten?</t>
  </si>
  <si>
    <t>Del</t>
  </si>
  <si>
    <t>Al</t>
  </si>
  <si>
    <t>SI</t>
  </si>
  <si>
    <t>Que el contratista cumplió con el OBJETO  para el cual se suscribió el contrato.</t>
  </si>
  <si>
    <t>Que el contratista cumplió con las OBLIGACIONES estipuladas en el contrato.</t>
  </si>
  <si>
    <t>DISCRIMINACIÓN PRESUPUESTAL A CAUSAR</t>
  </si>
  <si>
    <t>Por lo anterior, autorizo el pago correspondiente, conforme se señala en la cláusula de valor y forma de pago del contrato.</t>
  </si>
  <si>
    <t>Nombre del Contratista:</t>
  </si>
  <si>
    <t>Marque con una X</t>
  </si>
  <si>
    <t>CDP Inicial</t>
  </si>
  <si>
    <t xml:space="preserve">Valor </t>
  </si>
  <si>
    <t>OBJETO:</t>
  </si>
  <si>
    <t>Se adjuntan los siguientes documentos requeridos en el proceso:</t>
  </si>
  <si>
    <t>De</t>
  </si>
  <si>
    <t xml:space="preserve">PARA PAGO PARCIAL </t>
  </si>
  <si>
    <t>1.</t>
  </si>
  <si>
    <t>2.</t>
  </si>
  <si>
    <t>3.</t>
  </si>
  <si>
    <t>4.</t>
  </si>
  <si>
    <t>5.</t>
  </si>
  <si>
    <t>RADICACIONES</t>
  </si>
  <si>
    <t xml:space="preserve">Recursos Financieros </t>
  </si>
  <si>
    <t>Nombre:</t>
  </si>
  <si>
    <t>CONTRATACIÓN DIRECTA</t>
  </si>
  <si>
    <t>LICITACIÓN PÚBLICA</t>
  </si>
  <si>
    <t xml:space="preserve">MINIMA  CUANTIA </t>
  </si>
  <si>
    <t xml:space="preserve">SELECCIÓN ABREVIADA </t>
  </si>
  <si>
    <t xml:space="preserve">CONCURSO DE MERITOS </t>
  </si>
  <si>
    <t>MODALIDAD DE CONTRATACION</t>
  </si>
  <si>
    <t>PLAZO EJECUCION</t>
  </si>
  <si>
    <t>DIAS</t>
  </si>
  <si>
    <t>Pago a realizar:</t>
  </si>
  <si>
    <t>Fecha:</t>
  </si>
  <si>
    <t>AÑO</t>
  </si>
  <si>
    <t>001</t>
  </si>
  <si>
    <t>002</t>
  </si>
  <si>
    <t>003</t>
  </si>
  <si>
    <t>004</t>
  </si>
  <si>
    <t>005</t>
  </si>
  <si>
    <t>006</t>
  </si>
  <si>
    <t>007</t>
  </si>
  <si>
    <t>008</t>
  </si>
  <si>
    <t>009</t>
  </si>
  <si>
    <t>010</t>
  </si>
  <si>
    <t>011</t>
  </si>
  <si>
    <t>012</t>
  </si>
  <si>
    <t>013</t>
  </si>
  <si>
    <t>014</t>
  </si>
  <si>
    <t>015</t>
  </si>
  <si>
    <t>016</t>
  </si>
  <si>
    <t>017</t>
  </si>
  <si>
    <t>018</t>
  </si>
  <si>
    <t>019</t>
  </si>
  <si>
    <t>020</t>
  </si>
  <si>
    <t>021</t>
  </si>
  <si>
    <t>022</t>
  </si>
  <si>
    <t>023</t>
  </si>
  <si>
    <t>024</t>
  </si>
  <si>
    <t>025</t>
  </si>
  <si>
    <t>026</t>
  </si>
  <si>
    <t>027</t>
  </si>
  <si>
    <t>028</t>
  </si>
  <si>
    <t>029</t>
  </si>
  <si>
    <t>030</t>
  </si>
  <si>
    <t>031</t>
  </si>
  <si>
    <t>032</t>
  </si>
  <si>
    <t>033</t>
  </si>
  <si>
    <t>034</t>
  </si>
  <si>
    <t>035</t>
  </si>
  <si>
    <t>036</t>
  </si>
  <si>
    <t>037</t>
  </si>
  <si>
    <t>038</t>
  </si>
  <si>
    <t>039</t>
  </si>
  <si>
    <t>040</t>
  </si>
  <si>
    <t>041</t>
  </si>
  <si>
    <t>042</t>
  </si>
  <si>
    <t>043</t>
  </si>
  <si>
    <t>044</t>
  </si>
  <si>
    <t>045</t>
  </si>
  <si>
    <t>046</t>
  </si>
  <si>
    <t>047</t>
  </si>
  <si>
    <t>048</t>
  </si>
  <si>
    <t>049</t>
  </si>
  <si>
    <t>050</t>
  </si>
  <si>
    <t>051</t>
  </si>
  <si>
    <t>052</t>
  </si>
  <si>
    <t>053</t>
  </si>
  <si>
    <t>054</t>
  </si>
  <si>
    <t>055</t>
  </si>
  <si>
    <t>056</t>
  </si>
  <si>
    <t>057</t>
  </si>
  <si>
    <t>058</t>
  </si>
  <si>
    <t>059</t>
  </si>
  <si>
    <t>060</t>
  </si>
  <si>
    <t>061</t>
  </si>
  <si>
    <t>062</t>
  </si>
  <si>
    <t>063</t>
  </si>
  <si>
    <t>064</t>
  </si>
  <si>
    <t>065</t>
  </si>
  <si>
    <t>066</t>
  </si>
  <si>
    <t>067</t>
  </si>
  <si>
    <t>068</t>
  </si>
  <si>
    <t>069</t>
  </si>
  <si>
    <t>070</t>
  </si>
  <si>
    <t>071</t>
  </si>
  <si>
    <t>072</t>
  </si>
  <si>
    <t>073</t>
  </si>
  <si>
    <t>074</t>
  </si>
  <si>
    <t>075</t>
  </si>
  <si>
    <t>076</t>
  </si>
  <si>
    <t>077</t>
  </si>
  <si>
    <t>078</t>
  </si>
  <si>
    <t>079</t>
  </si>
  <si>
    <t>080</t>
  </si>
  <si>
    <t>081</t>
  </si>
  <si>
    <t>082</t>
  </si>
  <si>
    <t>083</t>
  </si>
  <si>
    <t>084</t>
  </si>
  <si>
    <t>085</t>
  </si>
  <si>
    <t>086</t>
  </si>
  <si>
    <t>087</t>
  </si>
  <si>
    <t>088</t>
  </si>
  <si>
    <t>089</t>
  </si>
  <si>
    <t>090</t>
  </si>
  <si>
    <t>091</t>
  </si>
  <si>
    <t>092</t>
  </si>
  <si>
    <t>093</t>
  </si>
  <si>
    <t>094</t>
  </si>
  <si>
    <t>095</t>
  </si>
  <si>
    <t>096</t>
  </si>
  <si>
    <t>097</t>
  </si>
  <si>
    <t>098</t>
  </si>
  <si>
    <t>099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</si>
  <si>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</si>
  <si>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</si>
  <si>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</si>
  <si>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</si>
  <si>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</si>
  <si>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</si>
  <si>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</si>
  <si>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</si>
  <si>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</si>
  <si>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</si>
  <si>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</si>
  <si>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</si>
  <si>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</si>
  <si>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</si>
  <si>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</si>
  <si>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</si>
  <si>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</si>
  <si>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</si>
  <si>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</si>
  <si>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</si>
  <si>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</si>
  <si>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</si>
  <si>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</si>
  <si>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</si>
  <si>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</si>
  <si>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</si>
  <si>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</si>
  <si>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</si>
  <si>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</si>
  <si>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</si>
  <si>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</si>
  <si>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</si>
  <si>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</si>
  <si>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</si>
  <si>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</si>
  <si>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</si>
  <si>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</si>
  <si>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</si>
  <si>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</si>
  <si>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</si>
  <si>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</si>
  <si>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</si>
  <si>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</si>
  <si>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</si>
  <si>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</si>
  <si>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</si>
  <si>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</si>
  <si>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</si>
  <si>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</si>
  <si>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</si>
  <si>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</si>
  <si>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</si>
  <si>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</si>
  <si>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</si>
  <si>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</si>
  <si>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</si>
  <si>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</si>
  <si>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</si>
  <si>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</si>
  <si>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</si>
  <si>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</si>
  <si>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</si>
  <si>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</si>
  <si>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</si>
  <si>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</si>
  <si>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</si>
  <si>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</si>
  <si>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</si>
  <si>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</si>
  <si>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</si>
  <si>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</si>
  <si>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</si>
  <si>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</si>
  <si>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</si>
  <si>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</si>
  <si>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</si>
  <si>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</si>
  <si>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</si>
  <si>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</si>
  <si>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</si>
  <si>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</si>
  <si>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</si>
  <si>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</si>
  <si>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</si>
  <si>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</si>
  <si>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</si>
  <si>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</si>
  <si>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</si>
  <si>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</si>
  <si>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</si>
  <si>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</si>
  <si>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</si>
  <si>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</si>
  <si>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</si>
  <si>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</si>
  <si>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</si>
  <si>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</si>
  <si>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</si>
  <si>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</si>
  <si>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</si>
  <si>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</si>
  <si>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</si>
  <si>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</si>
  <si>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</si>
  <si>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</si>
  <si>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</si>
  <si>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</si>
  <si>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</si>
  <si>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</si>
  <si>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</si>
  <si>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</si>
  <si>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</si>
  <si>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</si>
  <si>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</si>
  <si>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</si>
  <si>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</si>
  <si>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</si>
  <si>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</si>
  <si>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</si>
  <si>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</si>
  <si>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</si>
  <si>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</si>
  <si>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</si>
  <si>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</si>
  <si>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</si>
  <si>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</si>
  <si>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</si>
  <si>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</si>
  <si>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</si>
  <si>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</si>
  <si>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</si>
  <si>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</si>
  <si>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</si>
  <si>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</si>
  <si>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</si>
  <si>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</si>
  <si>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</si>
  <si>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</si>
  <si>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</si>
  <si>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</si>
  <si>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</si>
  <si>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</si>
  <si>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</si>
  <si>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</si>
  <si>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</si>
  <si>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</si>
  <si>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</si>
  <si>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</si>
  <si>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</si>
  <si>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</si>
  <si>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</si>
  <si>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</si>
  <si>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</si>
  <si>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</si>
  <si>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</si>
  <si>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</si>
  <si>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</si>
  <si>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</si>
  <si>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</si>
  <si>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</si>
  <si>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</si>
  <si>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</si>
  <si>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</si>
  <si>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</si>
  <si>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</si>
  <si>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</si>
  <si>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</si>
  <si>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</si>
  <si>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</si>
  <si>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</si>
  <si>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</si>
  <si>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</si>
  <si>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</si>
  <si>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</si>
  <si>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</si>
  <si>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</si>
  <si>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</si>
  <si>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</si>
  <si>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</si>
  <si>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</si>
  <si>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</si>
  <si>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</si>
  <si>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</si>
  <si>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</si>
  <si>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</si>
  <si>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</si>
  <si>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</si>
  <si>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</si>
  <si>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</si>
  <si>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</si>
  <si>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</si>
  <si>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</si>
  <si>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</si>
  <si>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</si>
  <si>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</si>
  <si>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</si>
  <si>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</si>
  <si>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</si>
  <si>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</si>
  <si>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</si>
  <si>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</si>
  <si>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</si>
  <si>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</si>
  <si>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</si>
  <si>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</si>
  <si>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</si>
  <si>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</si>
  <si>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</si>
  <si>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</si>
  <si>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</si>
  <si>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</si>
  <si>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</si>
  <si>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</si>
  <si>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</si>
  <si>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</si>
  <si>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</si>
  <si>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</si>
  <si>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</si>
  <si>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</si>
  <si>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</si>
  <si>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</si>
  <si>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</si>
  <si>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</si>
  <si>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</si>
  <si>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</si>
  <si>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</si>
  <si>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</si>
  <si>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</si>
  <si>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</si>
  <si>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</si>
  <si>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</si>
  <si>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</si>
  <si>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</si>
  <si>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</si>
  <si>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</si>
  <si>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</si>
  <si>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</si>
  <si>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</si>
  <si>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</si>
  <si>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</si>
  <si>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</si>
  <si>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</si>
  <si>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</si>
  <si>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</si>
  <si>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</si>
  <si>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</si>
  <si>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</si>
  <si>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</si>
  <si>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</si>
  <si>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</si>
  <si>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</si>
  <si>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</si>
  <si>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</si>
  <si>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</si>
  <si>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</si>
  <si>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</si>
  <si>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</si>
  <si>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</si>
  <si>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</si>
  <si>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</si>
  <si>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</si>
  <si>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</si>
  <si>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</si>
  <si>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</si>
  <si>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</si>
  <si>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</si>
  <si>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</si>
  <si>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</si>
  <si>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</si>
  <si>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</si>
  <si>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</si>
  <si>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</si>
  <si>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</si>
  <si>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</si>
  <si>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</si>
  <si>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</si>
  <si>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</si>
  <si>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</si>
  <si>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</si>
  <si>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</si>
  <si>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</si>
  <si>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</si>
  <si>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</si>
  <si>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</si>
  <si>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</si>
  <si>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</si>
  <si>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</si>
  <si>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</si>
  <si>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</si>
  <si>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</si>
  <si>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</si>
  <si>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</si>
  <si>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</si>
  <si>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</si>
  <si>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</si>
  <si>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</si>
  <si>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</si>
  <si>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</si>
  <si>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</si>
  <si>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</si>
  <si>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</si>
  <si>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</si>
  <si>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</si>
  <si>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</si>
  <si>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</si>
  <si>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</si>
  <si>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</si>
  <si>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</si>
  <si>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</si>
  <si>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</si>
  <si>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</si>
  <si>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</si>
  <si>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</si>
  <si>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</si>
  <si>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</si>
  <si>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</si>
  <si>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</si>
  <si>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</si>
  <si>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</si>
  <si>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</si>
  <si>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</si>
  <si>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</si>
  <si>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</si>
  <si>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</si>
  <si>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</si>
  <si>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</si>
  <si>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</si>
  <si>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</si>
  <si>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</si>
  <si>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</si>
  <si>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</si>
  <si>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</si>
  <si>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</si>
  <si>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</si>
  <si>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</si>
  <si>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</si>
  <si>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</si>
  <si>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</si>
  <si>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</si>
  <si>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</si>
  <si>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</si>
  <si>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441</t>
  </si>
  <si>
    <t>442</t>
  </si>
  <si>
    <t>443</t>
  </si>
  <si>
    <t>444</t>
  </si>
  <si>
    <t>445</t>
  </si>
  <si>
    <t>446</t>
  </si>
  <si>
    <t>447</t>
  </si>
  <si>
    <t>448</t>
  </si>
  <si>
    <t>449</t>
  </si>
  <si>
    <t>450</t>
  </si>
  <si>
    <t>NUMERO DE CONTRATO</t>
  </si>
  <si>
    <t>Nombre del contratista:</t>
  </si>
  <si>
    <t>Firma aprobación:</t>
  </si>
  <si>
    <t>Número</t>
  </si>
  <si>
    <t>Número de pagos recibidos:</t>
  </si>
  <si>
    <t xml:space="preserve">Fecha de ejecución del contrato: </t>
  </si>
  <si>
    <t>INTERADMINISTRATIVO</t>
  </si>
  <si>
    <t xml:space="preserve">FECHAS </t>
  </si>
  <si>
    <t xml:space="preserve">Fecha </t>
  </si>
  <si>
    <t xml:space="preserve">CERTIFICADO DE DISPONIBILIDAD PRESUPUESTAL </t>
  </si>
  <si>
    <t xml:space="preserve">REGISTRO PRESUPUESTAL DEL COMPROMISO </t>
  </si>
  <si>
    <t>CRP Inicial</t>
  </si>
  <si>
    <t>PARA PAGO TOTAL O ULTIMO PAGO:</t>
  </si>
  <si>
    <t>COMO SUPERVISOR DEL CONTRATO ME PERMITO CERTIFICAR:</t>
  </si>
  <si>
    <t>SUPERVISOR DEL CONTRATO</t>
  </si>
  <si>
    <t>Banco Popular S.A.</t>
  </si>
  <si>
    <t>Banco  de  Occidente S.A.</t>
  </si>
  <si>
    <t>Banco WWB S.A.</t>
  </si>
  <si>
    <t>Banco Falabella S.A.</t>
  </si>
  <si>
    <t>Banco Pichincha S.A.</t>
  </si>
  <si>
    <t xml:space="preserve">Banco CorpBanca "Helm Bank" </t>
  </si>
  <si>
    <t xml:space="preserve">Bancolombia S.A. </t>
  </si>
  <si>
    <t>Citibank</t>
  </si>
  <si>
    <t xml:space="preserve">Banco GNB Sudameris </t>
  </si>
  <si>
    <t>Banco Bilbao Vizcaya Argentaria Colombia BBVA</t>
  </si>
  <si>
    <t>Banco de Bogotá S.A.</t>
  </si>
  <si>
    <t>Banco Caja Social BCSC S.A.</t>
  </si>
  <si>
    <t xml:space="preserve">Banco Davivienda S.A. </t>
  </si>
  <si>
    <t xml:space="preserve">Banco Colpatria Multibanca Colpatria S.A. </t>
  </si>
  <si>
    <t>Banco Agrario de Colombia S.A.</t>
  </si>
  <si>
    <t xml:space="preserve">Banco Comercial AV Villas S.A. </t>
  </si>
  <si>
    <t>Banco ProCredit Colombia S.A. BPCC</t>
  </si>
  <si>
    <t>Banco de las Microfinanzas Bancamía S.A.</t>
  </si>
  <si>
    <t xml:space="preserve">Banco Coomeva S.A. </t>
  </si>
  <si>
    <t>Banco Finandina S.A.</t>
  </si>
  <si>
    <t>Banco Cooperativo Coopcentral  COOPCENTRAL</t>
  </si>
  <si>
    <t>Banco Mundo mujer S.A.</t>
  </si>
  <si>
    <t xml:space="preserve">Banco Multibank S.A.  </t>
  </si>
  <si>
    <t xml:space="preserve">Banco Compartir S.A. </t>
  </si>
  <si>
    <t xml:space="preserve">Cuenta de ahorros </t>
  </si>
  <si>
    <t xml:space="preserve">Cuenta Corriente </t>
  </si>
  <si>
    <t xml:space="preserve">TIPO DE CUENTA </t>
  </si>
  <si>
    <t xml:space="preserve">Tipo de cuenta bancaria: </t>
  </si>
  <si>
    <t xml:space="preserve">ACUERDO MARCO DE PRECIOS </t>
  </si>
  <si>
    <t>DELEGADA PARA EL CONTROL</t>
  </si>
  <si>
    <t>DELEGADA PARA LA OPERACIÓN</t>
  </si>
  <si>
    <t>GRUPO DE CONTRATOS</t>
  </si>
  <si>
    <t>GRUPO DE ESQUEMAS DE AUTOPROTECCIÓN</t>
  </si>
  <si>
    <t>GRUPO DE INSPECCIÓN</t>
  </si>
  <si>
    <t>GRUPO DE PERMISOS DE ESTADO</t>
  </si>
  <si>
    <t>GRUPO DE RECURSOS FINANCIEROS</t>
  </si>
  <si>
    <t xml:space="preserve">GRUPO DE SANCIONES </t>
  </si>
  <si>
    <t>OFICINA DE CONTROL INTERNO</t>
  </si>
  <si>
    <t>SECRETARIA GENERAL</t>
  </si>
  <si>
    <t xml:space="preserve">AREA </t>
  </si>
  <si>
    <t>Oficina o Grupo:</t>
  </si>
  <si>
    <t>GRUPO DE ATENCIÓN AL USUARIO</t>
  </si>
  <si>
    <t>GRUPO DE CONSULTORÍA Y CAPACITACIÓN</t>
  </si>
  <si>
    <t>GRUPO DE GESTIÓN DOCUMENTAL</t>
  </si>
  <si>
    <t>GRUPO DE RECURSOS FÍSICOS Y ADQUISICIONES</t>
  </si>
  <si>
    <t>OFICINA ASESORA DE PLANEACIÓN</t>
  </si>
  <si>
    <t>OFICINA ASESORA JURÍDICA</t>
  </si>
  <si>
    <t>Nombre del Banco</t>
  </si>
  <si>
    <t>REGIMEN</t>
  </si>
  <si>
    <t xml:space="preserve">Comun </t>
  </si>
  <si>
    <t xml:space="preserve">Simplificado </t>
  </si>
  <si>
    <t>Actividad CIIU N°</t>
  </si>
  <si>
    <t>Cuenta bancaria N°:</t>
  </si>
  <si>
    <t xml:space="preserve">Persona Jurídica </t>
  </si>
  <si>
    <t xml:space="preserve">Persona Natural </t>
  </si>
  <si>
    <t xml:space="preserve">1. Factura   </t>
  </si>
  <si>
    <t xml:space="preserve">Planilla seguridad social </t>
  </si>
  <si>
    <t xml:space="preserve">3. Planilla seguridad social </t>
  </si>
  <si>
    <t xml:space="preserve">     parafiscales </t>
  </si>
  <si>
    <t>N°</t>
  </si>
  <si>
    <t>Acta de Entrega</t>
  </si>
  <si>
    <t>Consecutivo</t>
  </si>
  <si>
    <t>XX</t>
  </si>
  <si>
    <t>OOO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</si>
  <si>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</si>
  <si>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</si>
  <si>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</si>
  <si>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</si>
  <si>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</si>
  <si>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</si>
  <si>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</si>
  <si>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</si>
  <si>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</si>
  <si>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N/A</t>
  </si>
  <si>
    <t>CONVENIO</t>
  </si>
  <si>
    <t xml:space="preserve">Documento equivalente a la </t>
  </si>
  <si>
    <t xml:space="preserve">4. </t>
  </si>
  <si>
    <t xml:space="preserve">Certificado cumplimiento </t>
  </si>
  <si>
    <t>Valor inicial del contrato</t>
  </si>
  <si>
    <t xml:space="preserve">Valor Total del contrato </t>
  </si>
  <si>
    <t>GRUPO DE RECURSOS HUMANOS</t>
  </si>
  <si>
    <t>Numero del contrato o acuerdo:</t>
  </si>
  <si>
    <t>PAGO # 2</t>
  </si>
  <si>
    <t>PAGO # 1</t>
  </si>
  <si>
    <t>PAGO # 3</t>
  </si>
  <si>
    <t>PAGO # 4</t>
  </si>
  <si>
    <t>PAGO # 5</t>
  </si>
  <si>
    <t>PAGO # 6</t>
  </si>
  <si>
    <t>PAGO # 7</t>
  </si>
  <si>
    <t>PAGO # 8</t>
  </si>
  <si>
    <t>PAGO # 9</t>
  </si>
  <si>
    <t>VALOR DEL CONTRATO</t>
  </si>
  <si>
    <t>DESPACHO DEL SUPERINTENDENTE</t>
  </si>
  <si>
    <t>CDP V. Futura</t>
  </si>
  <si>
    <t>CRP V. Futura</t>
  </si>
  <si>
    <t xml:space="preserve">2. Informe final detallado  </t>
  </si>
  <si>
    <t xml:space="preserve">7. Evaluación desempeño </t>
  </si>
  <si>
    <t>SALDO ANTERIOR</t>
  </si>
  <si>
    <t>Referencia: Certificación de cumplimiento de requisitos como contratista (Art. 329 del ET y Decreto 99 de 2013 Decrero 1070 de 2013)</t>
  </si>
  <si>
    <t>DE CONFORMIDAD CON LA REFERENCIA ME PERMITO MANIFESTARLE LO SIGUIENTE, BAJO LA GRAVEDAD DE JURAMENTO:</t>
  </si>
  <si>
    <t xml:space="preserve">Datos Generales </t>
  </si>
  <si>
    <t xml:space="preserve">Nombre del Contratista: </t>
  </si>
  <si>
    <t>Numero de identificacion:</t>
  </si>
  <si>
    <t>Régimen  al que pertenece:</t>
  </si>
  <si>
    <t xml:space="preserve">Los servicios tecnicos o profesionales  son prestados de forma personal </t>
  </si>
  <si>
    <t xml:space="preserve">Mis ingresos corresponden al 80% o mas por servicios prestados de forma personal </t>
  </si>
  <si>
    <t xml:space="preserve">Aportes obligatorios al sistema de seguridad social </t>
  </si>
  <si>
    <t>N° Planilla de pago:</t>
  </si>
  <si>
    <t>Mes que aporta:</t>
  </si>
  <si>
    <t>Valor aporte a EPS:</t>
  </si>
  <si>
    <t>Valor aporte a AFP:</t>
  </si>
  <si>
    <t>Valor aporte a ARL:</t>
  </si>
  <si>
    <t>VALOR TOTAL:</t>
  </si>
  <si>
    <t xml:space="preserve">Soy pensionado </t>
  </si>
  <si>
    <t xml:space="preserve">De: </t>
  </si>
  <si>
    <t>Soy declarante del impuesto sobre la renta y complementarios por el sistema ordinario de renta</t>
  </si>
  <si>
    <t xml:space="preserve">Realizo aporte a una cuenta AFC </t>
  </si>
  <si>
    <t>Firma:</t>
  </si>
  <si>
    <t>mes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</si>
  <si>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</si>
  <si>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</si>
  <si>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</si>
  <si>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</si>
  <si>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</si>
  <si>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</si>
  <si>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</si>
  <si>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</si>
  <si>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</si>
  <si>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</si>
  <si>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</si>
  <si>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</si>
  <si>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Elegir de la lista desplegable</t>
  </si>
  <si>
    <t xml:space="preserve">Los documentos soportes del pago de aportes obligatorios al sistema de seguridad social en salud y pensión corresponde a los ingresos provenientes del contrato materia del pago sujeto a retención e investigacion </t>
  </si>
  <si>
    <t xml:space="preserve">DATOS GENERALES DEL CONTRATISTA </t>
  </si>
  <si>
    <t>NOMBRE:</t>
  </si>
  <si>
    <t>DIRECCION:</t>
  </si>
  <si>
    <t>TELEFONO:</t>
  </si>
  <si>
    <t>CIUDAD:</t>
  </si>
  <si>
    <t>(000): N° Contrato</t>
  </si>
  <si>
    <t xml:space="preserve">(XX): Consecutivo factura </t>
  </si>
  <si>
    <t>NIT/CC:</t>
  </si>
  <si>
    <t>CONCEPTO</t>
  </si>
  <si>
    <t>No. CONTRATO</t>
  </si>
  <si>
    <t>DESCRIPCIÓN DEL OBJETO</t>
  </si>
  <si>
    <t xml:space="preserve">TIPO DE CUENTA: </t>
  </si>
  <si>
    <t>CUENTA BANCARIA N°:</t>
  </si>
  <si>
    <t>BANCO:</t>
  </si>
  <si>
    <t>REGIMEN:</t>
  </si>
  <si>
    <t>ACTIVIDAD CIIU No.</t>
  </si>
  <si>
    <t>DE LA CIUDAD DE :</t>
  </si>
  <si>
    <t>Declaro que los aportes al Sistema de Seguridad Social, derivados del presente cobro, fueron pagados mediante planillas  de las cuales se adjunta fotocopia.</t>
  </si>
  <si>
    <t xml:space="preserve"> N° CONSECUTIVO</t>
  </si>
  <si>
    <t xml:space="preserve">VALOR EN LETRAS </t>
  </si>
  <si>
    <t xml:space="preserve">N° Informe: </t>
  </si>
  <si>
    <t>OBLIGACIONES ESPECIFICAS DEL CONTRATISTA</t>
  </si>
  <si>
    <t>ACTIVIDADES REALIZADAS</t>
  </si>
  <si>
    <t xml:space="preserve">Informe de actividades </t>
  </si>
  <si>
    <t xml:space="preserve">2. Informe de actividades </t>
  </si>
  <si>
    <t>Certificado cumplimiento</t>
  </si>
  <si>
    <t>PAGO # 10</t>
  </si>
  <si>
    <t>PAGO # 11</t>
  </si>
  <si>
    <t>PAGO # 12</t>
  </si>
  <si>
    <t>PAGO # 13</t>
  </si>
  <si>
    <t>PAGO # 14</t>
  </si>
  <si>
    <t>N° de contrato:</t>
  </si>
  <si>
    <t>de</t>
  </si>
  <si>
    <t>Firma Contratista: __________________________</t>
  </si>
  <si>
    <t>Firma Supervisor: ________________________</t>
  </si>
  <si>
    <t>451</t>
  </si>
  <si>
    <t>452</t>
  </si>
  <si>
    <t>453</t>
  </si>
  <si>
    <t>454</t>
  </si>
  <si>
    <t>455</t>
  </si>
  <si>
    <t>456</t>
  </si>
  <si>
    <t>457</t>
  </si>
  <si>
    <t>458</t>
  </si>
  <si>
    <t>459</t>
  </si>
  <si>
    <t>460</t>
  </si>
  <si>
    <t>461</t>
  </si>
  <si>
    <t>462</t>
  </si>
  <si>
    <t>463</t>
  </si>
  <si>
    <t>464</t>
  </si>
  <si>
    <t>465</t>
  </si>
  <si>
    <t>466</t>
  </si>
  <si>
    <t>467</t>
  </si>
  <si>
    <t>468</t>
  </si>
  <si>
    <t>469</t>
  </si>
  <si>
    <t>470</t>
  </si>
  <si>
    <t>471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</si>
  <si>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</si>
  <si>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</si>
  <si>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</si>
  <si>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</si>
  <si>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</si>
  <si>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</si>
  <si>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</si>
  <si>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</si>
  <si>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</si>
  <si>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481</t>
  </si>
  <si>
    <t>482</t>
  </si>
  <si>
    <t>483</t>
  </si>
  <si>
    <t>484</t>
  </si>
  <si>
    <t>485</t>
  </si>
  <si>
    <t>486</t>
  </si>
  <si>
    <t>487</t>
  </si>
  <si>
    <t>488</t>
  </si>
  <si>
    <t>489</t>
  </si>
  <si>
    <t>490</t>
  </si>
  <si>
    <t>491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</si>
  <si>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</si>
  <si>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</si>
  <si>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</si>
  <si>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</si>
  <si>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</si>
  <si>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</si>
  <si>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</si>
  <si>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</si>
  <si>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</si>
  <si>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501</t>
  </si>
  <si>
    <t>502</t>
  </si>
  <si>
    <t>503</t>
  </si>
  <si>
    <t>504</t>
  </si>
  <si>
    <t>505</t>
  </si>
  <si>
    <t>506</t>
  </si>
  <si>
    <t>507</t>
  </si>
  <si>
    <t>508</t>
  </si>
  <si>
    <t>509</t>
  </si>
  <si>
    <t>510</t>
  </si>
  <si>
    <t>511</t>
  </si>
  <si>
    <t>512</t>
  </si>
  <si>
    <t>513</t>
  </si>
  <si>
    <t>514</t>
  </si>
  <si>
    <t>515</t>
  </si>
  <si>
    <t>516</t>
  </si>
  <si>
    <t>517</t>
  </si>
  <si>
    <t>518</t>
  </si>
  <si>
    <t>519</t>
  </si>
  <si>
    <t>520</t>
  </si>
  <si>
    <t>521</t>
  </si>
  <si>
    <t>522</t>
  </si>
  <si>
    <t>523</t>
  </si>
  <si>
    <t>524</t>
  </si>
  <si>
    <t>525</t>
  </si>
  <si>
    <t>526</t>
  </si>
  <si>
    <t>527</t>
  </si>
  <si>
    <t>528</t>
  </si>
  <si>
    <t>529</t>
  </si>
  <si>
    <t>530</t>
  </si>
  <si>
    <t>531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</si>
  <si>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</si>
  <si>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</si>
  <si>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</si>
  <si>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</si>
  <si>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</si>
  <si>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</si>
  <si>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</si>
  <si>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</si>
  <si>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</si>
  <si>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541</t>
  </si>
  <si>
    <t>542</t>
  </si>
  <si>
    <t>543</t>
  </si>
  <si>
    <t>544</t>
  </si>
  <si>
    <t>545</t>
  </si>
  <si>
    <t>546</t>
  </si>
  <si>
    <t>547</t>
  </si>
  <si>
    <t>548</t>
  </si>
  <si>
    <t>549</t>
  </si>
  <si>
    <t>550</t>
  </si>
  <si>
    <t>551</t>
  </si>
  <si>
    <t>552</t>
  </si>
  <si>
    <t>553</t>
  </si>
  <si>
    <t>554</t>
  </si>
  <si>
    <t>555</t>
  </si>
  <si>
    <t>556</t>
  </si>
  <si>
    <t>557</t>
  </si>
  <si>
    <t>558</t>
  </si>
  <si>
    <t>559</t>
  </si>
  <si>
    <t>560</t>
  </si>
  <si>
    <t>561</t>
  </si>
  <si>
    <t>562</t>
  </si>
  <si>
    <t>563</t>
  </si>
  <si>
    <t>564</t>
  </si>
  <si>
    <t>565</t>
  </si>
  <si>
    <t>566</t>
  </si>
  <si>
    <t>567</t>
  </si>
  <si>
    <t>568</t>
  </si>
  <si>
    <t>569</t>
  </si>
  <si>
    <t>570</t>
  </si>
  <si>
    <t>571</t>
  </si>
  <si>
    <t>572</t>
  </si>
  <si>
    <t>573</t>
  </si>
  <si>
    <t>574</t>
  </si>
  <si>
    <t>575</t>
  </si>
  <si>
    <t>576</t>
  </si>
  <si>
    <t>577</t>
  </si>
  <si>
    <t>578</t>
  </si>
  <si>
    <t>579</t>
  </si>
  <si>
    <t>580</t>
  </si>
  <si>
    <t>581</t>
  </si>
  <si>
    <t>582</t>
  </si>
  <si>
    <t>583</t>
  </si>
  <si>
    <t>584</t>
  </si>
  <si>
    <t>585</t>
  </si>
  <si>
    <t>586</t>
  </si>
  <si>
    <t>587</t>
  </si>
  <si>
    <t>588</t>
  </si>
  <si>
    <t>589</t>
  </si>
  <si>
    <t>590</t>
  </si>
  <si>
    <t>591</t>
  </si>
  <si>
    <t>592</t>
  </si>
  <si>
    <t>593</t>
  </si>
  <si>
    <t>594</t>
  </si>
  <si>
    <t>595</t>
  </si>
  <si>
    <t>596</t>
  </si>
  <si>
    <t>597</t>
  </si>
  <si>
    <t>598</t>
  </si>
  <si>
    <t>599</t>
  </si>
  <si>
    <t>600</t>
  </si>
  <si>
    <t>601</t>
  </si>
  <si>
    <t>602</t>
  </si>
  <si>
    <t>603</t>
  </si>
  <si>
    <t>604</t>
  </si>
  <si>
    <t>605</t>
  </si>
  <si>
    <t>606</t>
  </si>
  <si>
    <t>607</t>
  </si>
  <si>
    <t>608</t>
  </si>
  <si>
    <t>609</t>
  </si>
  <si>
    <t>610</t>
  </si>
  <si>
    <t>611</t>
  </si>
  <si>
    <t>612</t>
  </si>
  <si>
    <t>613</t>
  </si>
  <si>
    <t>614</t>
  </si>
  <si>
    <t>615</t>
  </si>
  <si>
    <t>616</t>
  </si>
  <si>
    <t>617</t>
  </si>
  <si>
    <t>618</t>
  </si>
  <si>
    <t>619</t>
  </si>
  <si>
    <t>620</t>
  </si>
  <si>
    <t>621</t>
  </si>
  <si>
    <t>622</t>
  </si>
  <si>
    <t>623</t>
  </si>
  <si>
    <t>624</t>
  </si>
  <si>
    <t>625</t>
  </si>
  <si>
    <t>626</t>
  </si>
  <si>
    <t>627</t>
  </si>
  <si>
    <t>628</t>
  </si>
  <si>
    <t>629</t>
  </si>
  <si>
    <t>630</t>
  </si>
  <si>
    <t>631</t>
  </si>
  <si>
    <t>632</t>
  </si>
  <si>
    <t>633</t>
  </si>
  <si>
    <t>634</t>
  </si>
  <si>
    <t>635</t>
  </si>
  <si>
    <t>636</t>
  </si>
  <si>
    <t>637</t>
  </si>
  <si>
    <t>638</t>
  </si>
  <si>
    <t>639</t>
  </si>
  <si>
    <t>640</t>
  </si>
  <si>
    <t>641</t>
  </si>
  <si>
    <t>642</t>
  </si>
  <si>
    <t>643</t>
  </si>
  <si>
    <t>644</t>
  </si>
  <si>
    <t>645</t>
  </si>
  <si>
    <t>646</t>
  </si>
  <si>
    <t>647</t>
  </si>
  <si>
    <t>648</t>
  </si>
  <si>
    <t>649</t>
  </si>
  <si>
    <t>650</t>
  </si>
  <si>
    <t>651</t>
  </si>
  <si>
    <t>652</t>
  </si>
  <si>
    <t>653</t>
  </si>
  <si>
    <t>654</t>
  </si>
  <si>
    <t>655</t>
  </si>
  <si>
    <t>656</t>
  </si>
  <si>
    <t>657</t>
  </si>
  <si>
    <t>658</t>
  </si>
  <si>
    <t>659</t>
  </si>
  <si>
    <t>660</t>
  </si>
  <si>
    <t>661</t>
  </si>
  <si>
    <t>662</t>
  </si>
  <si>
    <t>663</t>
  </si>
  <si>
    <t>664</t>
  </si>
  <si>
    <t>665</t>
  </si>
  <si>
    <t>666</t>
  </si>
  <si>
    <t>667</t>
  </si>
  <si>
    <t>668</t>
  </si>
  <si>
    <t>669</t>
  </si>
  <si>
    <t>670</t>
  </si>
  <si>
    <t>671</t>
  </si>
  <si>
    <t>672</t>
  </si>
  <si>
    <t>673</t>
  </si>
  <si>
    <t>674</t>
  </si>
  <si>
    <t>675</t>
  </si>
  <si>
    <t>676</t>
  </si>
  <si>
    <t>677</t>
  </si>
  <si>
    <t>678</t>
  </si>
  <si>
    <t>679</t>
  </si>
  <si>
    <t>680</t>
  </si>
  <si>
    <t>681</t>
  </si>
  <si>
    <t>682</t>
  </si>
  <si>
    <t>683</t>
  </si>
  <si>
    <t>684</t>
  </si>
  <si>
    <t>685</t>
  </si>
  <si>
    <t>686</t>
  </si>
  <si>
    <t>687</t>
  </si>
  <si>
    <t>688</t>
  </si>
  <si>
    <t>689</t>
  </si>
  <si>
    <t>690</t>
  </si>
  <si>
    <t>691</t>
  </si>
  <si>
    <t>692</t>
  </si>
  <si>
    <t>693</t>
  </si>
  <si>
    <t>694</t>
  </si>
  <si>
    <t>695</t>
  </si>
  <si>
    <t>696</t>
  </si>
  <si>
    <t>697</t>
  </si>
  <si>
    <t>698</t>
  </si>
  <si>
    <t>699</t>
  </si>
  <si>
    <t>700</t>
  </si>
  <si>
    <t>701</t>
  </si>
  <si>
    <t>702</t>
  </si>
  <si>
    <t>703</t>
  </si>
  <si>
    <t>704</t>
  </si>
  <si>
    <t>705</t>
  </si>
  <si>
    <t>706</t>
  </si>
  <si>
    <t>707</t>
  </si>
  <si>
    <t>708</t>
  </si>
  <si>
    <t>709</t>
  </si>
  <si>
    <t>710</t>
  </si>
  <si>
    <t>711</t>
  </si>
  <si>
    <t>712</t>
  </si>
  <si>
    <t>713</t>
  </si>
  <si>
    <t>714</t>
  </si>
  <si>
    <t>715</t>
  </si>
  <si>
    <t>716</t>
  </si>
  <si>
    <t>717</t>
  </si>
  <si>
    <t>718</t>
  </si>
  <si>
    <t>719</t>
  </si>
  <si>
    <t>720</t>
  </si>
  <si>
    <t>721</t>
  </si>
  <si>
    <t>722</t>
  </si>
  <si>
    <t>723</t>
  </si>
  <si>
    <t>724</t>
  </si>
  <si>
    <t>725</t>
  </si>
  <si>
    <t>726</t>
  </si>
  <si>
    <t>727</t>
  </si>
  <si>
    <t>728</t>
  </si>
  <si>
    <t>729</t>
  </si>
  <si>
    <t>730</t>
  </si>
  <si>
    <t>731</t>
  </si>
  <si>
    <t>732</t>
  </si>
  <si>
    <t>733</t>
  </si>
  <si>
    <t>734</t>
  </si>
  <si>
    <t>735</t>
  </si>
  <si>
    <t>736</t>
  </si>
  <si>
    <t>737</t>
  </si>
  <si>
    <t>738</t>
  </si>
  <si>
    <t>739</t>
  </si>
  <si>
    <t>740</t>
  </si>
  <si>
    <t>741</t>
  </si>
  <si>
    <t>742</t>
  </si>
  <si>
    <t>743</t>
  </si>
  <si>
    <t>744</t>
  </si>
  <si>
    <t>745</t>
  </si>
  <si>
    <t>746</t>
  </si>
  <si>
    <t>747</t>
  </si>
  <si>
    <t>748</t>
  </si>
  <si>
    <t>749</t>
  </si>
  <si>
    <t>750</t>
  </si>
  <si>
    <t>751</t>
  </si>
  <si>
    <t>752</t>
  </si>
  <si>
    <t>753</t>
  </si>
  <si>
    <t>754</t>
  </si>
  <si>
    <t>755</t>
  </si>
  <si>
    <t>756</t>
  </si>
  <si>
    <t>757</t>
  </si>
  <si>
    <t>758</t>
  </si>
  <si>
    <t>759</t>
  </si>
  <si>
    <t>760</t>
  </si>
  <si>
    <t>761</t>
  </si>
  <si>
    <t>762</t>
  </si>
  <si>
    <t>763</t>
  </si>
  <si>
    <t>764</t>
  </si>
  <si>
    <t>765</t>
  </si>
  <si>
    <t>766</t>
  </si>
  <si>
    <t>767</t>
  </si>
  <si>
    <t>768</t>
  </si>
  <si>
    <t>769</t>
  </si>
  <si>
    <t>770</t>
  </si>
  <si>
    <t>771</t>
  </si>
  <si>
    <t>772</t>
  </si>
  <si>
    <t>773</t>
  </si>
  <si>
    <t>774</t>
  </si>
  <si>
    <t>775</t>
  </si>
  <si>
    <t>776</t>
  </si>
  <si>
    <t>777</t>
  </si>
  <si>
    <t>778</t>
  </si>
  <si>
    <t>779</t>
  </si>
  <si>
    <t>780</t>
  </si>
  <si>
    <t>781</t>
  </si>
  <si>
    <t>782</t>
  </si>
  <si>
    <t>783</t>
  </si>
  <si>
    <t>784</t>
  </si>
  <si>
    <t>785</t>
  </si>
  <si>
    <t>786</t>
  </si>
  <si>
    <t>787</t>
  </si>
  <si>
    <t>788</t>
  </si>
  <si>
    <t>789</t>
  </si>
  <si>
    <t>790</t>
  </si>
  <si>
    <t>791</t>
  </si>
  <si>
    <t>792</t>
  </si>
  <si>
    <t>793</t>
  </si>
  <si>
    <t>794</t>
  </si>
  <si>
    <t>795</t>
  </si>
  <si>
    <t>796</t>
  </si>
  <si>
    <t>797</t>
  </si>
  <si>
    <t>798</t>
  </si>
  <si>
    <t>799</t>
  </si>
  <si>
    <t>800</t>
  </si>
  <si>
    <t>801</t>
  </si>
  <si>
    <t>802</t>
  </si>
  <si>
    <t>803</t>
  </si>
  <si>
    <t>804</t>
  </si>
  <si>
    <t>805</t>
  </si>
  <si>
    <t>806</t>
  </si>
  <si>
    <t>807</t>
  </si>
  <si>
    <t>808</t>
  </si>
  <si>
    <t>809</t>
  </si>
  <si>
    <t>810</t>
  </si>
  <si>
    <t>811</t>
  </si>
  <si>
    <t>812</t>
  </si>
  <si>
    <t>813</t>
  </si>
  <si>
    <t>814</t>
  </si>
  <si>
    <t>815</t>
  </si>
  <si>
    <t>816</t>
  </si>
  <si>
    <t>817</t>
  </si>
  <si>
    <t>818</t>
  </si>
  <si>
    <t>819</t>
  </si>
  <si>
    <t>820</t>
  </si>
  <si>
    <t>821</t>
  </si>
  <si>
    <t>822</t>
  </si>
  <si>
    <t>823</t>
  </si>
  <si>
    <t>824</t>
  </si>
  <si>
    <t>825</t>
  </si>
  <si>
    <t>826</t>
  </si>
  <si>
    <t>827</t>
  </si>
  <si>
    <t>828</t>
  </si>
  <si>
    <t>829</t>
  </si>
  <si>
    <t>830</t>
  </si>
  <si>
    <t>831</t>
  </si>
  <si>
    <t>832</t>
  </si>
  <si>
    <t>833</t>
  </si>
  <si>
    <t>834</t>
  </si>
  <si>
    <t>835</t>
  </si>
  <si>
    <t>836</t>
  </si>
  <si>
    <t>837</t>
  </si>
  <si>
    <t>838</t>
  </si>
  <si>
    <t>839</t>
  </si>
  <si>
    <t>840</t>
  </si>
  <si>
    <t>841</t>
  </si>
  <si>
    <t>842</t>
  </si>
  <si>
    <t>843</t>
  </si>
  <si>
    <t>844</t>
  </si>
  <si>
    <t>845</t>
  </si>
  <si>
    <t>846</t>
  </si>
  <si>
    <t>847</t>
  </si>
  <si>
    <t>848</t>
  </si>
  <si>
    <t>849</t>
  </si>
  <si>
    <t>850</t>
  </si>
  <si>
    <t>851</t>
  </si>
  <si>
    <t>852</t>
  </si>
  <si>
    <t>853</t>
  </si>
  <si>
    <t>854</t>
  </si>
  <si>
    <t>855</t>
  </si>
  <si>
    <t>856</t>
  </si>
  <si>
    <t>857</t>
  </si>
  <si>
    <t>858</t>
  </si>
  <si>
    <t>859</t>
  </si>
  <si>
    <t>860</t>
  </si>
  <si>
    <t>861</t>
  </si>
  <si>
    <t>862</t>
  </si>
  <si>
    <t>863</t>
  </si>
  <si>
    <t>864</t>
  </si>
  <si>
    <t>865</t>
  </si>
  <si>
    <t>866</t>
  </si>
  <si>
    <t>867</t>
  </si>
  <si>
    <t>868</t>
  </si>
  <si>
    <t>869</t>
  </si>
  <si>
    <t>870</t>
  </si>
  <si>
    <t>871</t>
  </si>
  <si>
    <t>872</t>
  </si>
  <si>
    <t>873</t>
  </si>
  <si>
    <t>874</t>
  </si>
  <si>
    <t>875</t>
  </si>
  <si>
    <t>876</t>
  </si>
  <si>
    <t>877</t>
  </si>
  <si>
    <t>878</t>
  </si>
  <si>
    <t>879</t>
  </si>
  <si>
    <t>880</t>
  </si>
  <si>
    <t>881</t>
  </si>
  <si>
    <t>882</t>
  </si>
  <si>
    <t>883</t>
  </si>
  <si>
    <t>884</t>
  </si>
  <si>
    <t>885</t>
  </si>
  <si>
    <t>886</t>
  </si>
  <si>
    <t>887</t>
  </si>
  <si>
    <t>888</t>
  </si>
  <si>
    <t>889</t>
  </si>
  <si>
    <t>890</t>
  </si>
  <si>
    <t>891</t>
  </si>
  <si>
    <t>892</t>
  </si>
  <si>
    <t>893</t>
  </si>
  <si>
    <t>894</t>
  </si>
  <si>
    <t>895</t>
  </si>
  <si>
    <t>896</t>
  </si>
  <si>
    <t>897</t>
  </si>
  <si>
    <t>898</t>
  </si>
  <si>
    <t>899</t>
  </si>
  <si>
    <t>900</t>
  </si>
  <si>
    <t>901</t>
  </si>
  <si>
    <t>902</t>
  </si>
  <si>
    <t>903</t>
  </si>
  <si>
    <t>904</t>
  </si>
  <si>
    <t>905</t>
  </si>
  <si>
    <t>906</t>
  </si>
  <si>
    <t>907</t>
  </si>
  <si>
    <t>908</t>
  </si>
  <si>
    <t>909</t>
  </si>
  <si>
    <t>910</t>
  </si>
  <si>
    <t>911</t>
  </si>
  <si>
    <t>912</t>
  </si>
  <si>
    <t>913</t>
  </si>
  <si>
    <t>914</t>
  </si>
  <si>
    <t>915</t>
  </si>
  <si>
    <t>916</t>
  </si>
  <si>
    <t>917</t>
  </si>
  <si>
    <t>918</t>
  </si>
  <si>
    <t>919</t>
  </si>
  <si>
    <t>920</t>
  </si>
  <si>
    <t>921</t>
  </si>
  <si>
    <t>922</t>
  </si>
  <si>
    <t>923</t>
  </si>
  <si>
    <t>924</t>
  </si>
  <si>
    <t>925</t>
  </si>
  <si>
    <t>926</t>
  </si>
  <si>
    <t>927</t>
  </si>
  <si>
    <t>928</t>
  </si>
  <si>
    <t>929</t>
  </si>
  <si>
    <t>930</t>
  </si>
  <si>
    <t>931</t>
  </si>
  <si>
    <t>932</t>
  </si>
  <si>
    <t>933</t>
  </si>
  <si>
    <t>934</t>
  </si>
  <si>
    <t>935</t>
  </si>
  <si>
    <t>936</t>
  </si>
  <si>
    <t>937</t>
  </si>
  <si>
    <t>938</t>
  </si>
  <si>
    <t>939</t>
  </si>
  <si>
    <t>940</t>
  </si>
  <si>
    <t>941</t>
  </si>
  <si>
    <t>942</t>
  </si>
  <si>
    <t>943</t>
  </si>
  <si>
    <t>944</t>
  </si>
  <si>
    <t>945</t>
  </si>
  <si>
    <t>946</t>
  </si>
  <si>
    <t>947</t>
  </si>
  <si>
    <t>948</t>
  </si>
  <si>
    <t>949</t>
  </si>
  <si>
    <t>950</t>
  </si>
  <si>
    <t>951</t>
  </si>
  <si>
    <t>952</t>
  </si>
  <si>
    <t>953</t>
  </si>
  <si>
    <t>954</t>
  </si>
  <si>
    <t>955</t>
  </si>
  <si>
    <t>956</t>
  </si>
  <si>
    <t>957</t>
  </si>
  <si>
    <t>958</t>
  </si>
  <si>
    <t>959</t>
  </si>
  <si>
    <t>960</t>
  </si>
  <si>
    <t>961</t>
  </si>
  <si>
    <t>962</t>
  </si>
  <si>
    <t>963</t>
  </si>
  <si>
    <t>964</t>
  </si>
  <si>
    <t>965</t>
  </si>
  <si>
    <t>966</t>
  </si>
  <si>
    <t>967</t>
  </si>
  <si>
    <t>968</t>
  </si>
  <si>
    <t>969</t>
  </si>
  <si>
    <t>970</t>
  </si>
  <si>
    <t>971</t>
  </si>
  <si>
    <t>972</t>
  </si>
  <si>
    <t>973</t>
  </si>
  <si>
    <t>974</t>
  </si>
  <si>
    <t>975</t>
  </si>
  <si>
    <t>976</t>
  </si>
  <si>
    <t>977</t>
  </si>
  <si>
    <t>978</t>
  </si>
  <si>
    <t>979</t>
  </si>
  <si>
    <t>980</t>
  </si>
  <si>
    <t>981</t>
  </si>
  <si>
    <t>982</t>
  </si>
  <si>
    <t>983</t>
  </si>
  <si>
    <t>984</t>
  </si>
  <si>
    <t>985</t>
  </si>
  <si>
    <t>986</t>
  </si>
  <si>
    <t>987</t>
  </si>
  <si>
    <t>988</t>
  </si>
  <si>
    <t>989</t>
  </si>
  <si>
    <t>990</t>
  </si>
  <si>
    <t>991</t>
  </si>
  <si>
    <t>992</t>
  </si>
  <si>
    <t>993</t>
  </si>
  <si>
    <t>994</t>
  </si>
  <si>
    <t>995</t>
  </si>
  <si>
    <t>996</t>
  </si>
  <si>
    <t>997</t>
  </si>
  <si>
    <t>998</t>
  </si>
  <si>
    <t>999</t>
  </si>
  <si>
    <t>GRUPO DE INVESTIGACIONES ADMINISTRATIVAS PRELIMINARES</t>
  </si>
  <si>
    <t>X</t>
  </si>
  <si>
    <t>MES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</si>
  <si>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</si>
  <si>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</si>
  <si>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</si>
  <si>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</si>
  <si>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</si>
  <si>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</si>
  <si>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</si>
  <si>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</si>
  <si>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</si>
  <si>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</si>
  <si>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</si>
  <si>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</si>
  <si>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 xml:space="preserve">OFICINA DE SISTEMAS </t>
  </si>
  <si>
    <t>COMUNICACIONES</t>
  </si>
  <si>
    <t>OFICINA DE CONTROL INTERNO DISCIPLINARIO</t>
  </si>
  <si>
    <t>Simple</t>
  </si>
  <si>
    <r>
      <t xml:space="preserve">Como </t>
    </r>
    <r>
      <rPr>
        <b/>
        <i/>
        <sz val="9"/>
        <rFont val="Montserrat"/>
      </rPr>
      <t xml:space="preserve">contratista </t>
    </r>
    <r>
      <rPr>
        <i/>
        <sz val="9"/>
        <rFont val="Montserrat"/>
      </rPr>
      <t xml:space="preserve">me permito certificar que la información aquí  consignada corresponde a las actividades realizadas para dar cumplimiento a las  obligaciones de mi contrato. 
Que previamente se realizo la revisión con el supervisor del cumplimiento de dichas actividades, las cuales son verificables y veraces.
</t>
    </r>
  </si>
  <si>
    <t>MC</t>
  </si>
  <si>
    <t>CM</t>
  </si>
  <si>
    <t>Cuota a certificar</t>
  </si>
  <si>
    <t>VALORES DE LAS CUOTAS PAGADAS A LA FECHA</t>
  </si>
  <si>
    <t>VALOR TOTAL PAGADO A LA FECHA</t>
  </si>
  <si>
    <t>Valor de las cuotas</t>
  </si>
  <si>
    <t>OPS</t>
  </si>
  <si>
    <t>LIC</t>
  </si>
  <si>
    <t>SASI</t>
  </si>
  <si>
    <t>NUEVO SALDO PENDIENTE DE PAGO</t>
  </si>
  <si>
    <t>CDP Adición 1</t>
  </si>
  <si>
    <t>CDP Adición 2</t>
  </si>
  <si>
    <t>CRP Adición 1</t>
  </si>
  <si>
    <t>CRP Adición 2</t>
  </si>
  <si>
    <t>OC</t>
  </si>
  <si>
    <t>CDPS</t>
  </si>
  <si>
    <t>Tiene dependientes económicos</t>
  </si>
  <si>
    <t>Operador PILA:</t>
  </si>
  <si>
    <t>APORTES EN LÍNEA</t>
  </si>
  <si>
    <t>ASOPAGOS</t>
  </si>
  <si>
    <t>COMPENSAR</t>
  </si>
  <si>
    <t>SIMPLE</t>
  </si>
  <si>
    <t>ARUS</t>
  </si>
  <si>
    <t>OBSERVACIONES DEL SUPERVISOR:</t>
  </si>
  <si>
    <t>VALOR A PAGAR DE LA CUOTA REPORTADA :</t>
  </si>
  <si>
    <t>5. Entrada de almacén</t>
  </si>
  <si>
    <t>6. Acta recibido a satisfacción</t>
  </si>
  <si>
    <t xml:space="preserve">4. Certificación aportes </t>
  </si>
  <si>
    <t>firma:</t>
  </si>
  <si>
    <t>Declaración de ingresos:</t>
  </si>
  <si>
    <t>Los servicios técnicos o profesionales  que presto, requieren del uso de materiales o equipo especializado</t>
  </si>
  <si>
    <t xml:space="preserve">Durante el presente mes de esta certificación  obtuve gastos de desplazamiento </t>
  </si>
  <si>
    <t>Fecha de Inicio:</t>
  </si>
  <si>
    <r>
      <t xml:space="preserve">Como </t>
    </r>
    <r>
      <rPr>
        <b/>
        <i/>
        <sz val="9"/>
        <rFont val="Montserrat"/>
      </rPr>
      <t xml:space="preserve">supervisor </t>
    </r>
    <r>
      <rPr>
        <i/>
        <sz val="9"/>
        <rFont val="Montserrat"/>
      </rPr>
      <t xml:space="preserve">de este contrato me permito certificar que:
-Durante el presente periodo el contratista dio cumplimiento al objeto del contrato,  previa verificación de las actividades ejecutadas.
-La información anteriormente descrita fue corroborada y aprobada.
</t>
    </r>
  </si>
  <si>
    <t>No responsable</t>
  </si>
  <si>
    <t>Responsable</t>
  </si>
  <si>
    <t>SOI</t>
  </si>
  <si>
    <t>C.C. o NIT:</t>
  </si>
  <si>
    <t xml:space="preserve">Valor de la adición del contrato </t>
  </si>
  <si>
    <t xml:space="preserve">Régimen: </t>
  </si>
  <si>
    <t>Que el contratista dio cumplimiento a lo establecido en las disposiciones legales vigentes sobre el régimen de seguridad social, y cumplió con los aportes a salud, AFP y ARL.</t>
  </si>
  <si>
    <t>Que se recibió el informe y entrega de las evidencias, productos o bienes del contrato, lo cual una  vez  revisado y aprobado se  deja  a  disposición en el Sistema de Gestión Documental SECOP en su respectivo PDF</t>
  </si>
  <si>
    <t>Factura (régimen común aportar factura)</t>
  </si>
  <si>
    <t xml:space="preserve">Banco Santander de negocios de Colombia  S. A </t>
  </si>
  <si>
    <t>BOGOTA</t>
  </si>
  <si>
    <t>0134</t>
  </si>
  <si>
    <t>Prestar servicios de apoyo a la gestión para fortalecer la ejecución de las actividades propias de la superintendencia de vigilancia y seguridad privada, en marco del proyecto de inversión denominado IMPLEMENTACIÓN DE UN SISTEMA DE TOMA DE DECISIONES, PARA EL MEJORAMIENTO DE LOS TIEMPOS DE RESPUESTA DE LOS TRÁMITES Y PROCESOS ADMINISTRATIVOS DE LA SUPERINTENDENCIA DE VIGILANCIA Y SEGURIDAD PRIVADA- CDPS-0134-2024</t>
  </si>
  <si>
    <t>24093443939</t>
  </si>
  <si>
    <t xml:space="preserve">CRA 89 BIS #57A-17 SUR </t>
  </si>
  <si>
    <t>MALCOLM CUERO GUARIN</t>
  </si>
  <si>
    <t>Apoyar el desarrollo, instalación y configuración de nuevas funcionalidades y herramientas informáticas para toma de decisiones basadas en datos.</t>
  </si>
  <si>
    <t>Apoyar el levantamiento de requerimientos para el desarrollo de herramientas informáticas requeridas por la entidad</t>
  </si>
  <si>
    <t>Apoyar el soporte técnico de las herramientas informáticas con las que cuenta la entidad</t>
  </si>
  <si>
    <t>Apoyar las actividades necesarias para el cumplimiento de las tareas definidas en el Plan de Acción de la oficina de sistemas</t>
  </si>
  <si>
    <t>Asistir a las reuniones que sean programadas en el marco del Proyecto de inversión</t>
  </si>
  <si>
    <t>Entregar de forma física en una carpeta todos los documentos establecidos en la lista de chequeo incluyendo los documentos precontractuales y contractuales para la primera cuenta de cobro</t>
  </si>
  <si>
    <t>Las demás que se deriven o sean inherentes al objeto y naturaleza del contrato y que garanticen su cabal cumplimiento</t>
  </si>
  <si>
    <t>2</t>
  </si>
  <si>
    <t>Di soporte al gestor documental en arrea financiera y jurídica con paz y salvos que presentaban errores y usuarios que no les aparecía tareas asignadas bandeja</t>
  </si>
  <si>
    <t>Solicite token para firma en SIIF para funcionarios que lo requirieron y firmas para gestor documental GUARDIAN.</t>
  </si>
  <si>
    <t>Asistí a las reuniones definidas por la entidad para la implementación de GUARDIAN en el área de operaciones, notificaciones y área financiera</t>
  </si>
  <si>
    <t>Se dio capacitación de uso de la plataforma GUARDIAN en are financiera y en grupo de operaciones permisos de estado empresarial</t>
  </si>
  <si>
    <t>Apoye en parametrización de consulta de radicados de flujos de trabajo por distintos parámetros de búsqueda: cedula, correo electrónico, nit, fecha de creación, grupo, nombre Entidad, teléfono, celular, descripción, dirección, primer Nombre, apellido, segundo Apellido.</t>
  </si>
  <si>
    <t>Colaboré en levantamiento de requerimientos para tramites, permisos de estado empresarial, paz y salvo para área financiera y realice seguimiento al flujo de forma detallada.</t>
  </si>
  <si>
    <t>Se entrego de forma física en una carpeta todos los documentos establecidos en la lista de chequeo incluyendo los documentos precontractuales y contractuales para la primera cuenta de cobro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</si>
</sst>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64" formatCode="_(&quot;$&quot;\ * #,##0_);_(&quot;$&quot;\ * \(#,##0\);_(&quot;$&quot;\ * &quot;-&quot;_);_(@_)"/>
    <numFmt numFmtId="165" formatCode="_(&quot;$&quot;\ * #,##0.00_);_(&quot;$&quot;\ * \(#,##0.00\);_(&quot;$&quot;\ * &quot;-&quot;??_);_(@_)"/>
    <numFmt numFmtId="166" formatCode="_(* #,##0.00_);_(* \(#,##0.00\);_(* &quot;-&quot;??_);_(@_)"/>
    <numFmt numFmtId="167" formatCode="dd/mm/yyyy;@"/>
    <numFmt numFmtId="168" formatCode="[&gt;0]&quot; $&quot;#,##0.00\ ;[&lt;0]&quot; $(&quot;#,##0.00\);&quot; $-&quot;#\ "/>
    <numFmt numFmtId="169" formatCode="[&gt;0]#,##0.00&quot;       &quot;;[&lt;0]\-#,##0.00&quot;       &quot;;&quot; -&quot;#&quot;       &quot;"/>
    <numFmt numFmtId="170" formatCode="_ &quot;$&quot;\ * #,##0_ ;_ &quot;$&quot;\ * \-#,##0_ ;_ &quot;$&quot;\ * &quot;-&quot;_ ;_ @_ "/>
    <numFmt numFmtId="171" formatCode="[$-C0A]d\-mmm\-yy;@"/>
    <numFmt numFmtId="172" formatCode="_ &quot;$&quot;\ * #,##0.000_ ;_ &quot;$&quot;\ * \-#,##0.000_ ;_ &quot;$&quot;\ * &quot;-&quot;_ ;_ @_ "/>
    <numFmt numFmtId="173" formatCode="0.000"/>
    <numFmt numFmtId="174" formatCode="&quot;$&quot;\ #,##0"/>
    <numFmt numFmtId="175" formatCode="[$-C0A]d\ &quot;de&quot;\ mmmm\ &quot;de&quot;\ yyyy;@"/>
    <numFmt numFmtId="176" formatCode="d/mm/yyyy;@"/>
    <numFmt numFmtId="177" formatCode="_(* #,##0_);_(* \(#,##0\);_(* &quot;-&quot;??_);_(@_)"/>
    <numFmt numFmtId="178" formatCode="[&gt;0]&quot; $&quot;#,##0\ ;[&lt;0]&quot; $(&quot;#,##0\);&quot; $-&quot;#\ "/>
  </numFmts>
  <fonts count="39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Montserrat"/>
    </font>
    <font>
      <sz val="11"/>
      <color theme="1"/>
      <name val="Montserrat"/>
    </font>
    <font>
      <sz val="9"/>
      <name val="Montserrat"/>
    </font>
    <font>
      <sz val="9"/>
      <color theme="1"/>
      <name val="Montserrat"/>
    </font>
    <font>
      <b/>
      <sz val="9"/>
      <name val="Montserrat"/>
    </font>
    <font>
      <b/>
      <sz val="11"/>
      <name val="Montserrat"/>
    </font>
    <font>
      <sz val="10"/>
      <name val="Montserrat"/>
    </font>
    <font>
      <sz val="11"/>
      <name val="Montserrat"/>
    </font>
    <font>
      <i/>
      <sz val="9"/>
      <name val="Montserrat"/>
    </font>
    <font>
      <b/>
      <i/>
      <sz val="9"/>
      <name val="Montserrat"/>
    </font>
    <font>
      <b/>
      <sz val="10"/>
      <color theme="1"/>
      <name val="Montserrat"/>
    </font>
    <font>
      <sz val="10"/>
      <color theme="1"/>
      <name val="Montserrat"/>
    </font>
    <font>
      <sz val="10"/>
      <color rgb="FF000000"/>
      <name val="Montserrat"/>
    </font>
    <font>
      <sz val="10"/>
      <color rgb="FFAEAAAA"/>
      <name val="Montserrat"/>
    </font>
    <font>
      <b/>
      <sz val="14"/>
      <name val="Montserrat"/>
    </font>
    <font>
      <b/>
      <i/>
      <sz val="10"/>
      <color theme="1"/>
      <name val="Montserrat"/>
    </font>
    <font>
      <i/>
      <sz val="10"/>
      <color theme="1"/>
      <name val="Montserrat"/>
    </font>
    <font>
      <b/>
      <sz val="12"/>
      <name val="Montserrat"/>
    </font>
    <font>
      <b/>
      <sz val="11"/>
      <color rgb="FFFF0000"/>
      <name val="Montserrat"/>
    </font>
    <font>
      <b/>
      <sz val="10"/>
      <name val="Montserrat"/>
    </font>
    <font>
      <b/>
      <sz val="10"/>
      <color rgb="FFFF0000"/>
      <name val="Montserrat"/>
    </font>
    <font>
      <sz val="16"/>
      <name val="Montserrat"/>
    </font>
    <font>
      <sz val="8"/>
      <name val="Montserrat"/>
    </font>
    <font>
      <sz val="9"/>
      <color rgb="FFFF0000"/>
      <name val="Montserrat"/>
    </font>
    <font>
      <b/>
      <sz val="9"/>
      <color rgb="FFFF0000"/>
      <name val="Montserrat"/>
    </font>
    <font>
      <b/>
      <u/>
      <sz val="9"/>
      <name val="Montserrat"/>
    </font>
    <font>
      <b/>
      <sz val="8"/>
      <name val="Montserrat"/>
    </font>
    <font>
      <sz val="8"/>
      <color theme="1"/>
      <name val="Montserrat"/>
    </font>
    <font>
      <b/>
      <sz val="10"/>
      <color rgb="FF000000"/>
      <name val="Montserrat"/>
    </font>
    <font>
      <b/>
      <i/>
      <sz val="10"/>
      <color rgb="FF000000"/>
      <name val="Montserrat"/>
    </font>
    <font>
      <b/>
      <sz val="8.5"/>
      <name val="Montserrat"/>
    </font>
    <font>
      <sz val="7"/>
      <name val="Montserrat"/>
    </font>
    <font>
      <sz val="6"/>
      <name val="Montserrat"/>
    </font>
    <font>
      <b/>
      <i/>
      <sz val="10"/>
      <color theme="0" tint="-0.14999847407452621"/>
      <name val="Montserrat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</fills>
  <borders count="5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theme="2" tint="-0.249977111117893"/>
      </bottom>
      <diagonal/>
    </border>
    <border>
      <left style="double">
        <color theme="2" tint="-0.249977111117893"/>
      </left>
      <right/>
      <top style="double">
        <color theme="2" tint="-0.249977111117893"/>
      </top>
      <bottom/>
      <diagonal/>
    </border>
    <border>
      <left/>
      <right/>
      <top style="double">
        <color theme="2" tint="-0.249977111117893"/>
      </top>
      <bottom/>
      <diagonal/>
    </border>
    <border>
      <left/>
      <right style="double">
        <color theme="2" tint="-0.249977111117893"/>
      </right>
      <top style="double">
        <color theme="2" tint="-0.249977111117893"/>
      </top>
      <bottom/>
      <diagonal/>
    </border>
    <border>
      <left style="double">
        <color theme="2" tint="-0.249977111117893"/>
      </left>
      <right/>
      <top/>
      <bottom/>
      <diagonal/>
    </border>
    <border>
      <left/>
      <right style="double">
        <color theme="2" tint="-0.249977111117893"/>
      </right>
      <top/>
      <bottom/>
      <diagonal/>
    </border>
    <border>
      <left style="thin">
        <color theme="2" tint="-0.249977111117893"/>
      </left>
      <right/>
      <top/>
      <bottom/>
      <diagonal/>
    </border>
    <border>
      <left/>
      <right style="thin">
        <color theme="2" tint="-0.249977111117893"/>
      </right>
      <top/>
      <bottom/>
      <diagonal/>
    </border>
    <border>
      <left style="thin">
        <color theme="2" tint="-0.249977111117893"/>
      </left>
      <right/>
      <top/>
      <bottom style="thin">
        <color theme="2" tint="-0.249977111117893"/>
      </bottom>
      <diagonal/>
    </border>
    <border>
      <left/>
      <right/>
      <top/>
      <bottom style="thin">
        <color theme="2" tint="-0.249977111117893"/>
      </bottom>
      <diagonal/>
    </border>
    <border>
      <left/>
      <right style="thin">
        <color theme="2" tint="-0.249977111117893"/>
      </right>
      <top/>
      <bottom style="thin">
        <color theme="2" tint="-0.249977111117893"/>
      </bottom>
      <diagonal/>
    </border>
    <border>
      <left/>
      <right/>
      <top style="thin">
        <color theme="2" tint="-0.249977111117893"/>
      </top>
      <bottom/>
      <diagonal/>
    </border>
    <border>
      <left style="thin">
        <color theme="2" tint="-0.249977111117893"/>
      </left>
      <right/>
      <top style="thin">
        <color theme="2" tint="-0.249977111117893"/>
      </top>
      <bottom/>
      <diagonal/>
    </border>
    <border>
      <left/>
      <right style="thin">
        <color theme="2" tint="-0.249977111117893"/>
      </right>
      <top style="thin">
        <color theme="2" tint="-0.249977111117893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/>
      <right/>
      <top style="thin">
        <color theme="2" tint="-0.249977111117893"/>
      </top>
      <bottom style="thin">
        <color theme="0" tint="-0.249977111117893"/>
      </bottom>
      <diagonal/>
    </border>
    <border>
      <left style="double">
        <color theme="2" tint="-0.249977111117893"/>
      </left>
      <right/>
      <top/>
      <bottom style="double">
        <color theme="2" tint="-0.249977111117893"/>
      </bottom>
      <diagonal/>
    </border>
    <border>
      <left/>
      <right style="double">
        <color theme="2" tint="-0.249977111117893"/>
      </right>
      <top/>
      <bottom style="double">
        <color theme="2" tint="-0.249977111117893"/>
      </bottom>
      <diagonal/>
    </border>
    <border>
      <left style="double">
        <color theme="2" tint="-0.249977111117893"/>
      </left>
      <right/>
      <top style="double">
        <color theme="2" tint="-0.249977111117893"/>
      </top>
      <bottom style="double">
        <color theme="2" tint="-0.249977111117893"/>
      </bottom>
      <diagonal/>
    </border>
    <border>
      <left/>
      <right/>
      <top style="double">
        <color theme="2" tint="-0.249977111117893"/>
      </top>
      <bottom style="double">
        <color theme="2" tint="-0.249977111117893"/>
      </bottom>
      <diagonal/>
    </border>
    <border>
      <left/>
      <right style="double">
        <color theme="2" tint="-0.249977111117893"/>
      </right>
      <top style="double">
        <color theme="2" tint="-0.249977111117893"/>
      </top>
      <bottom style="double">
        <color theme="2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indexed="64"/>
      </bottom>
      <diagonal/>
    </border>
    <border>
      <left/>
      <right/>
      <top style="thin">
        <color theme="0" tint="-0.249977111117893"/>
      </top>
      <bottom/>
      <diagonal/>
    </border>
    <border>
      <left/>
      <right/>
      <top style="thin">
        <color theme="2" tint="-0.249977111117893"/>
      </top>
      <bottom style="thin">
        <color indexed="64"/>
      </bottom>
      <diagonal/>
    </border>
  </borders>
  <cellStyleXfs count="11">
    <xf numFmtId="0" fontId="0" fillId="0" borderId="0"/>
    <xf numFmtId="0" fontId="4" fillId="0" borderId="0" applyNumberFormat="0" applyFill="0" applyBorder="0" applyAlignment="0" applyProtection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3" fillId="0" borderId="0"/>
    <xf numFmtId="0" fontId="3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78">
    <xf numFmtId="0" fontId="0" fillId="0" borderId="0" xfId="0"/>
    <xf numFmtId="0" fontId="6" fillId="0" borderId="0" xfId="0" applyFont="1"/>
    <xf numFmtId="0" fontId="7" fillId="2" borderId="4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7" fillId="2" borderId="10" xfId="0" applyFont="1" applyFill="1" applyBorder="1" applyAlignment="1">
      <alignment horizontal="center" vertical="center"/>
    </xf>
    <xf numFmtId="0" fontId="8" fillId="0" borderId="0" xfId="0" applyFont="1"/>
    <xf numFmtId="0" fontId="7" fillId="2" borderId="5" xfId="0" applyFont="1" applyFill="1" applyBorder="1"/>
    <xf numFmtId="0" fontId="7" fillId="2" borderId="0" xfId="0" applyFont="1" applyFill="1"/>
    <xf numFmtId="0" fontId="7" fillId="2" borderId="8" xfId="0" applyFont="1" applyFill="1" applyBorder="1"/>
    <xf numFmtId="0" fontId="7" fillId="2" borderId="0" xfId="0" applyFont="1" applyFill="1" applyAlignment="1">
      <alignment horizontal="left"/>
    </xf>
    <xf numFmtId="0" fontId="9" fillId="2" borderId="12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right"/>
    </xf>
    <xf numFmtId="0" fontId="9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/>
    </xf>
    <xf numFmtId="49" fontId="9" fillId="2" borderId="0" xfId="0" applyNumberFormat="1" applyFont="1" applyFill="1" applyAlignment="1">
      <alignment horizontal="center"/>
    </xf>
    <xf numFmtId="49" fontId="9" fillId="2" borderId="12" xfId="0" applyNumberFormat="1" applyFont="1" applyFill="1" applyBorder="1" applyAlignment="1">
      <alignment horizontal="center" vertical="center" wrapText="1"/>
    </xf>
    <xf numFmtId="0" fontId="7" fillId="2" borderId="0" xfId="0" applyFont="1" applyFill="1" applyAlignment="1">
      <alignment horizontal="center" vertical="center"/>
    </xf>
    <xf numFmtId="0" fontId="7" fillId="2" borderId="6" xfId="0" applyFont="1" applyFill="1" applyBorder="1"/>
    <xf numFmtId="0" fontId="7" fillId="2" borderId="12" xfId="0" applyFont="1" applyFill="1" applyBorder="1" applyAlignment="1">
      <alignment horizontal="left"/>
    </xf>
    <xf numFmtId="0" fontId="7" fillId="2" borderId="12" xfId="0" applyFont="1" applyFill="1" applyBorder="1" applyAlignment="1">
      <alignment horizontal="center" vertical="center" wrapText="1"/>
    </xf>
    <xf numFmtId="0" fontId="7" fillId="2" borderId="12" xfId="0" applyFont="1" applyFill="1" applyBorder="1" applyAlignment="1">
      <alignment horizontal="center" vertical="center"/>
    </xf>
    <xf numFmtId="0" fontId="7" fillId="2" borderId="12" xfId="0" applyFont="1" applyFill="1" applyBorder="1"/>
    <xf numFmtId="0" fontId="7" fillId="2" borderId="12" xfId="0" applyFont="1" applyFill="1" applyBorder="1" applyAlignment="1">
      <alignment horizontal="center"/>
    </xf>
    <xf numFmtId="0" fontId="7" fillId="2" borderId="13" xfId="0" applyFont="1" applyFill="1" applyBorder="1"/>
    <xf numFmtId="0" fontId="6" fillId="0" borderId="6" xfId="0" applyFont="1" applyBorder="1"/>
    <xf numFmtId="0" fontId="6" fillId="0" borderId="12" xfId="0" applyFont="1" applyBorder="1"/>
    <xf numFmtId="0" fontId="6" fillId="0" borderId="13" xfId="0" applyFont="1" applyBorder="1"/>
    <xf numFmtId="0" fontId="16" fillId="2" borderId="0" xfId="0" applyFont="1" applyFill="1" applyAlignment="1">
      <alignment vertical="center" wrapText="1"/>
    </xf>
    <xf numFmtId="0" fontId="16" fillId="0" borderId="0" xfId="0" applyFont="1"/>
    <xf numFmtId="0" fontId="16" fillId="2" borderId="0" xfId="0" applyFont="1" applyFill="1" applyAlignment="1">
      <alignment vertical="center" textRotation="255" wrapText="1"/>
    </xf>
    <xf numFmtId="0" fontId="16" fillId="2" borderId="0" xfId="0" applyFont="1" applyFill="1"/>
    <xf numFmtId="0" fontId="16" fillId="2" borderId="0" xfId="0" applyFont="1" applyFill="1" applyAlignment="1">
      <alignment vertical="center"/>
    </xf>
    <xf numFmtId="0" fontId="16" fillId="0" borderId="0" xfId="0" applyFont="1" applyAlignment="1">
      <alignment wrapText="1"/>
    </xf>
    <xf numFmtId="0" fontId="16" fillId="2" borderId="7" xfId="0" applyFont="1" applyFill="1" applyBorder="1" applyAlignment="1">
      <alignment vertical="center" textRotation="255" wrapText="1"/>
    </xf>
    <xf numFmtId="0" fontId="16" fillId="2" borderId="0" xfId="0" applyFont="1" applyFill="1" applyAlignment="1">
      <alignment vertical="top" wrapText="1"/>
    </xf>
    <xf numFmtId="0" fontId="16" fillId="2" borderId="2" xfId="0" applyFont="1" applyFill="1" applyBorder="1" applyAlignment="1">
      <alignment vertical="center"/>
    </xf>
    <xf numFmtId="0" fontId="16" fillId="2" borderId="0" xfId="0" applyFont="1" applyFill="1" applyAlignment="1">
      <alignment wrapText="1"/>
    </xf>
    <xf numFmtId="0" fontId="17" fillId="2" borderId="0" xfId="0" applyFont="1" applyFill="1" applyAlignment="1">
      <alignment vertical="center"/>
    </xf>
    <xf numFmtId="0" fontId="15" fillId="2" borderId="0" xfId="0" applyFont="1" applyFill="1" applyAlignment="1">
      <alignment vertical="center" wrapText="1"/>
    </xf>
    <xf numFmtId="0" fontId="20" fillId="2" borderId="22" xfId="0" applyFont="1" applyFill="1" applyBorder="1" applyAlignment="1">
      <alignment horizontal="center" vertical="center" wrapText="1"/>
    </xf>
    <xf numFmtId="0" fontId="16" fillId="2" borderId="0" xfId="0" applyFont="1" applyFill="1" applyAlignment="1">
      <alignment horizontal="right"/>
    </xf>
    <xf numFmtId="0" fontId="21" fillId="2" borderId="23" xfId="0" applyFont="1" applyFill="1" applyBorder="1" applyAlignment="1">
      <alignment vertical="center" wrapText="1"/>
    </xf>
    <xf numFmtId="0" fontId="21" fillId="2" borderId="24" xfId="0" applyFont="1" applyFill="1" applyBorder="1" applyAlignment="1">
      <alignment vertical="center" wrapText="1"/>
    </xf>
    <xf numFmtId="0" fontId="21" fillId="2" borderId="25" xfId="0" applyFont="1" applyFill="1" applyBorder="1" applyAlignment="1">
      <alignment vertical="center" wrapText="1"/>
    </xf>
    <xf numFmtId="0" fontId="21" fillId="2" borderId="26" xfId="0" applyFont="1" applyFill="1" applyBorder="1" applyAlignment="1">
      <alignment vertical="center" wrapText="1"/>
    </xf>
    <xf numFmtId="0" fontId="21" fillId="2" borderId="0" xfId="0" applyFont="1" applyFill="1" applyAlignment="1">
      <alignment vertical="center" wrapText="1"/>
    </xf>
    <xf numFmtId="0" fontId="21" fillId="2" borderId="27" xfId="0" applyFont="1" applyFill="1" applyBorder="1" applyAlignment="1">
      <alignment vertical="center" wrapText="1"/>
    </xf>
    <xf numFmtId="0" fontId="16" fillId="2" borderId="26" xfId="0" applyFont="1" applyFill="1" applyBorder="1"/>
    <xf numFmtId="0" fontId="16" fillId="2" borderId="27" xfId="0" applyFont="1" applyFill="1" applyBorder="1"/>
    <xf numFmtId="0" fontId="11" fillId="2" borderId="28" xfId="0" applyFont="1" applyFill="1" applyBorder="1" applyAlignment="1">
      <alignment horizontal="right"/>
    </xf>
    <xf numFmtId="0" fontId="11" fillId="2" borderId="0" xfId="0" applyFont="1" applyFill="1"/>
    <xf numFmtId="0" fontId="11" fillId="2" borderId="29" xfId="0" applyFont="1" applyFill="1" applyBorder="1"/>
    <xf numFmtId="0" fontId="16" fillId="2" borderId="29" xfId="0" applyFont="1" applyFill="1" applyBorder="1"/>
    <xf numFmtId="0" fontId="11" fillId="2" borderId="30" xfId="0" applyFont="1" applyFill="1" applyBorder="1" applyAlignment="1">
      <alignment horizontal="right"/>
    </xf>
    <xf numFmtId="0" fontId="11" fillId="2" borderId="31" xfId="0" applyFont="1" applyFill="1" applyBorder="1"/>
    <xf numFmtId="0" fontId="16" fillId="2" borderId="31" xfId="0" applyFont="1" applyFill="1" applyBorder="1" applyAlignment="1">
      <alignment horizontal="left"/>
    </xf>
    <xf numFmtId="0" fontId="16" fillId="2" borderId="32" xfId="0" applyFont="1" applyFill="1" applyBorder="1"/>
    <xf numFmtId="0" fontId="11" fillId="2" borderId="0" xfId="0" applyFont="1" applyFill="1" applyAlignment="1">
      <alignment horizontal="right"/>
    </xf>
    <xf numFmtId="0" fontId="11" fillId="2" borderId="33" xfId="0" applyFont="1" applyFill="1" applyBorder="1"/>
    <xf numFmtId="0" fontId="16" fillId="2" borderId="26" xfId="0" applyFont="1" applyFill="1" applyBorder="1" applyAlignment="1">
      <alignment vertical="center"/>
    </xf>
    <xf numFmtId="0" fontId="16" fillId="2" borderId="27" xfId="0" applyFont="1" applyFill="1" applyBorder="1" applyAlignment="1">
      <alignment vertical="center"/>
    </xf>
    <xf numFmtId="0" fontId="16" fillId="0" borderId="0" xfId="0" applyFont="1" applyAlignment="1">
      <alignment vertical="center"/>
    </xf>
    <xf numFmtId="0" fontId="16" fillId="2" borderId="28" xfId="0" applyFont="1" applyFill="1" applyBorder="1" applyAlignment="1">
      <alignment horizontal="right"/>
    </xf>
    <xf numFmtId="0" fontId="16" fillId="2" borderId="11" xfId="0" applyFont="1" applyFill="1" applyBorder="1" applyAlignment="1">
      <alignment horizontal="center" vertical="center"/>
    </xf>
    <xf numFmtId="0" fontId="16" fillId="2" borderId="30" xfId="0" applyFont="1" applyFill="1" applyBorder="1" applyAlignment="1">
      <alignment horizontal="right"/>
    </xf>
    <xf numFmtId="0" fontId="16" fillId="2" borderId="31" xfId="0" applyFont="1" applyFill="1" applyBorder="1"/>
    <xf numFmtId="0" fontId="16" fillId="2" borderId="31" xfId="0" applyFont="1" applyFill="1" applyBorder="1" applyAlignment="1">
      <alignment horizontal="right"/>
    </xf>
    <xf numFmtId="0" fontId="15" fillId="2" borderId="0" xfId="0" applyFont="1" applyFill="1" applyAlignment="1">
      <alignment vertical="center"/>
    </xf>
    <xf numFmtId="0" fontId="15" fillId="2" borderId="26" xfId="0" applyFont="1" applyFill="1" applyBorder="1" applyAlignment="1">
      <alignment vertical="center"/>
    </xf>
    <xf numFmtId="0" fontId="15" fillId="2" borderId="27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174" fontId="16" fillId="2" borderId="0" xfId="0" applyNumberFormat="1" applyFont="1" applyFill="1" applyAlignment="1">
      <alignment horizontal="left" vertical="center"/>
    </xf>
    <xf numFmtId="174" fontId="16" fillId="2" borderId="0" xfId="0" applyNumberFormat="1" applyFont="1" applyFill="1" applyAlignment="1">
      <alignment horizontal="right" vertical="center"/>
    </xf>
    <xf numFmtId="174" fontId="11" fillId="2" borderId="0" xfId="0" applyNumberFormat="1" applyFont="1" applyFill="1" applyAlignment="1">
      <alignment horizontal="left" vertical="center" wrapText="1"/>
    </xf>
    <xf numFmtId="0" fontId="16" fillId="2" borderId="28" xfId="0" applyFont="1" applyFill="1" applyBorder="1" applyAlignment="1">
      <alignment horizontal="right" vertical="center"/>
    </xf>
    <xf numFmtId="0" fontId="16" fillId="2" borderId="29" xfId="0" applyFont="1" applyFill="1" applyBorder="1" applyAlignment="1">
      <alignment vertical="center"/>
    </xf>
    <xf numFmtId="174" fontId="16" fillId="2" borderId="0" xfId="0" applyNumberFormat="1" applyFont="1" applyFill="1" applyAlignment="1">
      <alignment horizontal="left"/>
    </xf>
    <xf numFmtId="0" fontId="16" fillId="2" borderId="34" xfId="0" applyFont="1" applyFill="1" applyBorder="1" applyAlignment="1">
      <alignment horizontal="right"/>
    </xf>
    <xf numFmtId="0" fontId="16" fillId="2" borderId="35" xfId="0" applyFont="1" applyFill="1" applyBorder="1"/>
    <xf numFmtId="0" fontId="16" fillId="2" borderId="36" xfId="0" applyFont="1" applyFill="1" applyBorder="1" applyAlignment="1">
      <alignment horizontal="right"/>
    </xf>
    <xf numFmtId="0" fontId="16" fillId="2" borderId="37" xfId="0" applyFont="1" applyFill="1" applyBorder="1"/>
    <xf numFmtId="0" fontId="16" fillId="2" borderId="38" xfId="0" applyFont="1" applyFill="1" applyBorder="1" applyAlignment="1">
      <alignment horizontal="right"/>
    </xf>
    <xf numFmtId="0" fontId="16" fillId="2" borderId="39" xfId="0" applyFont="1" applyFill="1" applyBorder="1"/>
    <xf numFmtId="0" fontId="16" fillId="2" borderId="11" xfId="0" applyFont="1" applyFill="1" applyBorder="1" applyAlignment="1">
      <alignment horizontal="center"/>
    </xf>
    <xf numFmtId="0" fontId="16" fillId="2" borderId="40" xfId="0" applyFont="1" applyFill="1" applyBorder="1" applyAlignment="1">
      <alignment horizontal="right"/>
    </xf>
    <xf numFmtId="0" fontId="16" fillId="2" borderId="41" xfId="0" applyFont="1" applyFill="1" applyBorder="1"/>
    <xf numFmtId="0" fontId="16" fillId="2" borderId="41" xfId="0" applyFont="1" applyFill="1" applyBorder="1" applyAlignment="1">
      <alignment horizontal="right"/>
    </xf>
    <xf numFmtId="0" fontId="16" fillId="2" borderId="42" xfId="0" applyFont="1" applyFill="1" applyBorder="1"/>
    <xf numFmtId="0" fontId="16" fillId="2" borderId="43" xfId="0" applyFont="1" applyFill="1" applyBorder="1"/>
    <xf numFmtId="174" fontId="16" fillId="2" borderId="0" xfId="0" applyNumberFormat="1" applyFont="1" applyFill="1" applyAlignment="1">
      <alignment horizontal="right"/>
    </xf>
    <xf numFmtId="0" fontId="16" fillId="2" borderId="33" xfId="0" applyFont="1" applyFill="1" applyBorder="1"/>
    <xf numFmtId="0" fontId="16" fillId="2" borderId="28" xfId="0" applyFont="1" applyFill="1" applyBorder="1" applyAlignment="1">
      <alignment vertical="center"/>
    </xf>
    <xf numFmtId="0" fontId="16" fillId="2" borderId="44" xfId="0" applyFont="1" applyFill="1" applyBorder="1"/>
    <xf numFmtId="0" fontId="16" fillId="2" borderId="22" xfId="0" applyFont="1" applyFill="1" applyBorder="1" applyAlignment="1">
      <alignment horizontal="right"/>
    </xf>
    <xf numFmtId="0" fontId="16" fillId="2" borderId="22" xfId="0" applyFont="1" applyFill="1" applyBorder="1"/>
    <xf numFmtId="0" fontId="16" fillId="2" borderId="45" xfId="0" applyFont="1" applyFill="1" applyBorder="1"/>
    <xf numFmtId="174" fontId="16" fillId="2" borderId="0" xfId="0" applyNumberFormat="1" applyFont="1" applyFill="1" applyAlignment="1">
      <alignment horizontal="center"/>
    </xf>
    <xf numFmtId="0" fontId="16" fillId="2" borderId="23" xfId="0" applyFont="1" applyFill="1" applyBorder="1"/>
    <xf numFmtId="0" fontId="16" fillId="2" borderId="24" xfId="0" applyFont="1" applyFill="1" applyBorder="1" applyAlignment="1">
      <alignment horizontal="right"/>
    </xf>
    <xf numFmtId="0" fontId="16" fillId="2" borderId="24" xfId="0" applyFont="1" applyFill="1" applyBorder="1"/>
    <xf numFmtId="174" fontId="16" fillId="2" borderId="24" xfId="0" applyNumberFormat="1" applyFont="1" applyFill="1" applyBorder="1" applyAlignment="1">
      <alignment horizontal="center"/>
    </xf>
    <xf numFmtId="0" fontId="16" fillId="2" borderId="25" xfId="0" applyFont="1" applyFill="1" applyBorder="1"/>
    <xf numFmtId="0" fontId="16" fillId="0" borderId="0" xfId="0" applyFont="1" applyAlignment="1">
      <alignment horizontal="right"/>
    </xf>
    <xf numFmtId="14" fontId="16" fillId="0" borderId="0" xfId="0" applyNumberFormat="1" applyFont="1"/>
    <xf numFmtId="0" fontId="7" fillId="0" borderId="0" xfId="0" applyFont="1" applyProtection="1">
      <protection locked="0"/>
    </xf>
    <xf numFmtId="0" fontId="7" fillId="2" borderId="1" xfId="0" applyFont="1" applyFill="1" applyBorder="1" applyProtection="1">
      <protection locked="0"/>
    </xf>
    <xf numFmtId="0" fontId="7" fillId="2" borderId="2" xfId="0" applyFont="1" applyFill="1" applyBorder="1" applyProtection="1">
      <protection locked="0"/>
    </xf>
    <xf numFmtId="0" fontId="7" fillId="2" borderId="18" xfId="0" applyFont="1" applyFill="1" applyBorder="1" applyProtection="1">
      <protection locked="0"/>
    </xf>
    <xf numFmtId="0" fontId="7" fillId="2" borderId="3" xfId="0" applyFont="1" applyFill="1" applyBorder="1" applyProtection="1">
      <protection locked="0"/>
    </xf>
    <xf numFmtId="0" fontId="7" fillId="2" borderId="0" xfId="0" applyFont="1" applyFill="1" applyProtection="1">
      <protection locked="0"/>
    </xf>
    <xf numFmtId="0" fontId="7" fillId="2" borderId="0" xfId="0" applyFont="1" applyFill="1" applyAlignment="1" applyProtection="1">
      <alignment horizontal="right" vertical="center"/>
      <protection locked="0"/>
    </xf>
    <xf numFmtId="0" fontId="7" fillId="2" borderId="0" xfId="0" applyFont="1" applyFill="1" applyAlignment="1" applyProtection="1">
      <alignment horizontal="left"/>
      <protection locked="0"/>
    </xf>
    <xf numFmtId="0" fontId="7" fillId="2" borderId="0" xfId="0" applyFont="1" applyFill="1" applyAlignment="1" applyProtection="1">
      <alignment vertical="center"/>
      <protection locked="0"/>
    </xf>
    <xf numFmtId="0" fontId="7" fillId="2" borderId="7" xfId="0" applyFont="1" applyFill="1" applyBorder="1" applyProtection="1">
      <protection locked="0"/>
    </xf>
    <xf numFmtId="49" fontId="7" fillId="2" borderId="0" xfId="0" applyNumberFormat="1" applyFont="1" applyFill="1" applyAlignment="1" applyProtection="1">
      <alignment horizontal="center" vertical="center"/>
      <protection locked="0"/>
    </xf>
    <xf numFmtId="0" fontId="7" fillId="2" borderId="0" xfId="0" applyFont="1" applyFill="1" applyAlignment="1" applyProtection="1">
      <alignment horizontal="center" vertical="center"/>
      <protection locked="0"/>
    </xf>
    <xf numFmtId="0" fontId="11" fillId="2" borderId="0" xfId="0" applyFont="1" applyFill="1" applyAlignment="1" applyProtection="1">
      <alignment horizontal="center" vertical="center"/>
      <protection locked="0"/>
    </xf>
    <xf numFmtId="0" fontId="7" fillId="2" borderId="4" xfId="0" applyFont="1" applyFill="1" applyBorder="1" applyProtection="1">
      <protection locked="0"/>
    </xf>
    <xf numFmtId="0" fontId="7" fillId="2" borderId="9" xfId="0" applyFont="1" applyFill="1" applyBorder="1" applyProtection="1">
      <protection locked="0"/>
    </xf>
    <xf numFmtId="0" fontId="7" fillId="2" borderId="10" xfId="0" applyFont="1" applyFill="1" applyBorder="1" applyProtection="1">
      <protection locked="0"/>
    </xf>
    <xf numFmtId="0" fontId="7" fillId="2" borderId="5" xfId="0" applyFont="1" applyFill="1" applyBorder="1" applyProtection="1">
      <protection locked="0"/>
    </xf>
    <xf numFmtId="0" fontId="11" fillId="2" borderId="0" xfId="0" applyFont="1" applyFill="1" applyAlignment="1">
      <alignment vertical="center"/>
    </xf>
    <xf numFmtId="1" fontId="24" fillId="2" borderId="0" xfId="0" applyNumberFormat="1" applyFont="1" applyFill="1" applyAlignment="1" applyProtection="1">
      <alignment horizontal="center" vertical="center"/>
      <protection locked="0"/>
    </xf>
    <xf numFmtId="0" fontId="11" fillId="2" borderId="0" xfId="0" applyFont="1" applyFill="1" applyAlignment="1">
      <alignment horizontal="left" vertical="center"/>
    </xf>
    <xf numFmtId="0" fontId="7" fillId="2" borderId="8" xfId="0" applyFont="1" applyFill="1" applyBorder="1" applyProtection="1">
      <protection locked="0"/>
    </xf>
    <xf numFmtId="49" fontId="11" fillId="2" borderId="0" xfId="0" applyNumberFormat="1" applyFont="1" applyFill="1" applyAlignment="1">
      <alignment horizontal="center"/>
    </xf>
    <xf numFmtId="0" fontId="11" fillId="2" borderId="0" xfId="0" applyFont="1" applyFill="1" applyAlignment="1" applyProtection="1">
      <alignment horizontal="center"/>
      <protection locked="0"/>
    </xf>
    <xf numFmtId="167" fontId="24" fillId="2" borderId="0" xfId="0" applyNumberFormat="1" applyFont="1" applyFill="1" applyAlignment="1" applyProtection="1">
      <alignment vertical="center"/>
      <protection locked="0"/>
    </xf>
    <xf numFmtId="167" fontId="7" fillId="2" borderId="8" xfId="0" applyNumberFormat="1" applyFont="1" applyFill="1" applyBorder="1" applyAlignment="1" applyProtection="1">
      <alignment horizontal="center"/>
      <protection locked="0"/>
    </xf>
    <xf numFmtId="0" fontId="7" fillId="2" borderId="7" xfId="0" applyFont="1" applyFill="1" applyBorder="1" applyAlignment="1" applyProtection="1">
      <alignment horizontal="center"/>
      <protection locked="0"/>
    </xf>
    <xf numFmtId="0" fontId="7" fillId="2" borderId="6" xfId="0" applyFont="1" applyFill="1" applyBorder="1" applyProtection="1">
      <protection locked="0"/>
    </xf>
    <xf numFmtId="0" fontId="11" fillId="2" borderId="12" xfId="0" applyFont="1" applyFill="1" applyBorder="1" applyAlignment="1">
      <alignment horizontal="left"/>
    </xf>
    <xf numFmtId="0" fontId="11" fillId="2" borderId="12" xfId="0" applyFont="1" applyFill="1" applyBorder="1" applyAlignment="1" applyProtection="1">
      <alignment horizontal="center" vertical="center"/>
      <protection locked="0"/>
    </xf>
    <xf numFmtId="0" fontId="11" fillId="2" borderId="12" xfId="0" applyFont="1" applyFill="1" applyBorder="1" applyAlignment="1">
      <alignment horizontal="center"/>
    </xf>
    <xf numFmtId="0" fontId="11" fillId="2" borderId="12" xfId="0" applyFont="1" applyFill="1" applyBorder="1" applyAlignment="1" applyProtection="1">
      <alignment horizontal="left" vertical="center"/>
      <protection locked="0"/>
    </xf>
    <xf numFmtId="0" fontId="7" fillId="2" borderId="13" xfId="0" applyFont="1" applyFill="1" applyBorder="1" applyAlignment="1" applyProtection="1">
      <alignment horizontal="left"/>
      <protection locked="0"/>
    </xf>
    <xf numFmtId="0" fontId="12" fillId="2" borderId="0" xfId="0" applyFont="1" applyFill="1" applyAlignment="1">
      <alignment horizontal="left"/>
    </xf>
    <xf numFmtId="0" fontId="12" fillId="2" borderId="0" xfId="0" applyFont="1" applyFill="1" applyAlignment="1" applyProtection="1">
      <alignment horizontal="center" vertical="center"/>
      <protection locked="0"/>
    </xf>
    <xf numFmtId="0" fontId="12" fillId="2" borderId="0" xfId="0" applyFont="1" applyFill="1" applyAlignment="1">
      <alignment horizontal="center"/>
    </xf>
    <xf numFmtId="0" fontId="12" fillId="2" borderId="0" xfId="0" applyFont="1" applyFill="1" applyAlignment="1" applyProtection="1">
      <alignment horizontal="left" vertical="center"/>
      <protection locked="0"/>
    </xf>
    <xf numFmtId="0" fontId="7" fillId="2" borderId="0" xfId="0" applyFont="1" applyFill="1" applyAlignment="1" applyProtection="1">
      <alignment horizontal="center"/>
      <protection locked="0"/>
    </xf>
    <xf numFmtId="0" fontId="26" fillId="2" borderId="7" xfId="0" applyFont="1" applyFill="1" applyBorder="1" applyAlignment="1" applyProtection="1">
      <alignment vertical="center" textRotation="255"/>
      <protection locked="0"/>
    </xf>
    <xf numFmtId="0" fontId="24" fillId="2" borderId="8" xfId="0" applyFont="1" applyFill="1" applyBorder="1" applyAlignment="1">
      <alignment horizontal="center" vertical="center"/>
    </xf>
    <xf numFmtId="0" fontId="27" fillId="2" borderId="0" xfId="0" applyFont="1" applyFill="1" applyAlignment="1" applyProtection="1">
      <alignment wrapText="1"/>
      <protection locked="0"/>
    </xf>
    <xf numFmtId="0" fontId="7" fillId="2" borderId="9" xfId="0" applyFont="1" applyFill="1" applyBorder="1" applyAlignment="1" applyProtection="1">
      <alignment horizontal="center"/>
      <protection locked="0"/>
    </xf>
    <xf numFmtId="0" fontId="27" fillId="2" borderId="9" xfId="0" applyFont="1" applyFill="1" applyBorder="1" applyAlignment="1" applyProtection="1">
      <alignment wrapText="1"/>
      <protection locked="0"/>
    </xf>
    <xf numFmtId="0" fontId="27" fillId="2" borderId="10" xfId="0" applyFont="1" applyFill="1" applyBorder="1" applyAlignment="1" applyProtection="1">
      <alignment wrapText="1"/>
      <protection locked="0"/>
    </xf>
    <xf numFmtId="0" fontId="7" fillId="2" borderId="11" xfId="0" applyFont="1" applyFill="1" applyBorder="1" applyAlignment="1" applyProtection="1">
      <alignment horizontal="center" vertical="center"/>
      <protection locked="0"/>
    </xf>
    <xf numFmtId="0" fontId="7" fillId="2" borderId="0" xfId="0" applyFont="1" applyFill="1" applyAlignment="1" applyProtection="1">
      <alignment horizontal="right"/>
      <protection locked="0"/>
    </xf>
    <xf numFmtId="0" fontId="27" fillId="2" borderId="0" xfId="0" applyFont="1" applyFill="1" applyAlignment="1" applyProtection="1">
      <alignment horizontal="left" wrapText="1"/>
      <protection locked="0"/>
    </xf>
    <xf numFmtId="0" fontId="27" fillId="2" borderId="8" xfId="0" applyFont="1" applyFill="1" applyBorder="1" applyAlignment="1" applyProtection="1">
      <alignment horizontal="center" wrapText="1"/>
      <protection locked="0"/>
    </xf>
    <xf numFmtId="174" fontId="7" fillId="0" borderId="0" xfId="0" applyNumberFormat="1" applyFont="1" applyProtection="1">
      <protection locked="0"/>
    </xf>
    <xf numFmtId="14" fontId="7" fillId="2" borderId="0" xfId="0" applyNumberFormat="1" applyFont="1" applyFill="1" applyProtection="1">
      <protection locked="0"/>
    </xf>
    <xf numFmtId="0" fontId="7" fillId="2" borderId="12" xfId="0" applyFont="1" applyFill="1" applyBorder="1" applyAlignment="1" applyProtection="1">
      <alignment horizontal="center"/>
      <protection locked="0"/>
    </xf>
    <xf numFmtId="0" fontId="7" fillId="2" borderId="12" xfId="0" applyFont="1" applyFill="1" applyBorder="1" applyAlignment="1" applyProtection="1">
      <alignment horizontal="center" vertical="center"/>
      <protection locked="0"/>
    </xf>
    <xf numFmtId="1" fontId="7" fillId="2" borderId="0" xfId="0" applyNumberFormat="1" applyFont="1" applyFill="1" applyAlignment="1" applyProtection="1">
      <alignment horizontal="center"/>
      <protection locked="0"/>
    </xf>
    <xf numFmtId="0" fontId="7" fillId="2" borderId="12" xfId="0" applyFont="1" applyFill="1" applyBorder="1" applyAlignment="1" applyProtection="1">
      <alignment horizontal="left"/>
      <protection locked="0"/>
    </xf>
    <xf numFmtId="0" fontId="7" fillId="2" borderId="12" xfId="0" applyFont="1" applyFill="1" applyBorder="1" applyProtection="1">
      <protection locked="0"/>
    </xf>
    <xf numFmtId="0" fontId="7" fillId="2" borderId="13" xfId="0" applyFont="1" applyFill="1" applyBorder="1" applyProtection="1">
      <protection locked="0"/>
    </xf>
    <xf numFmtId="0" fontId="7" fillId="2" borderId="9" xfId="0" applyFont="1" applyFill="1" applyBorder="1" applyAlignment="1" applyProtection="1">
      <alignment vertical="center"/>
      <protection locked="0"/>
    </xf>
    <xf numFmtId="0" fontId="7" fillId="2" borderId="9" xfId="0" applyFont="1" applyFill="1" applyBorder="1" applyAlignment="1" applyProtection="1">
      <alignment horizontal="left" vertical="center"/>
      <protection locked="0"/>
    </xf>
    <xf numFmtId="0" fontId="7" fillId="2" borderId="9" xfId="0" applyFont="1" applyFill="1" applyBorder="1" applyAlignment="1">
      <alignment horizontal="center" vertical="top"/>
    </xf>
    <xf numFmtId="0" fontId="7" fillId="2" borderId="9" xfId="0" applyFont="1" applyFill="1" applyBorder="1" applyAlignment="1" applyProtection="1">
      <alignment horizontal="center" vertical="top"/>
      <protection locked="0"/>
    </xf>
    <xf numFmtId="0" fontId="7" fillId="2" borderId="10" xfId="0" applyFont="1" applyFill="1" applyBorder="1" applyAlignment="1" applyProtection="1">
      <alignment horizontal="center" vertical="top"/>
      <protection locked="0"/>
    </xf>
    <xf numFmtId="0" fontId="7" fillId="2" borderId="0" xfId="0" applyFont="1" applyFill="1" applyAlignment="1" applyProtection="1">
      <alignment horizontal="center" vertical="top"/>
      <protection locked="0"/>
    </xf>
    <xf numFmtId="0" fontId="7" fillId="2" borderId="8" xfId="0" applyFont="1" applyFill="1" applyBorder="1" applyAlignment="1" applyProtection="1">
      <alignment horizontal="center" vertical="top"/>
      <protection locked="0"/>
    </xf>
    <xf numFmtId="0" fontId="9" fillId="2" borderId="0" xfId="0" applyFont="1" applyFill="1" applyAlignment="1" applyProtection="1">
      <alignment horizontal="center" vertical="center"/>
      <protection locked="0"/>
    </xf>
    <xf numFmtId="0" fontId="7" fillId="2" borderId="0" xfId="0" applyFont="1" applyFill="1" applyAlignment="1" applyProtection="1">
      <alignment horizontal="left" vertical="center"/>
      <protection locked="0"/>
    </xf>
    <xf numFmtId="0" fontId="7" fillId="2" borderId="0" xfId="0" applyFont="1" applyFill="1" applyAlignment="1" applyProtection="1">
      <alignment vertical="top"/>
      <protection locked="0"/>
    </xf>
    <xf numFmtId="0" fontId="7" fillId="2" borderId="0" xfId="0" applyFont="1" applyFill="1" applyAlignment="1" applyProtection="1">
      <alignment horizontal="center" vertical="center" wrapText="1"/>
      <protection locked="0"/>
    </xf>
    <xf numFmtId="0" fontId="7" fillId="2" borderId="0" xfId="0" applyFont="1" applyFill="1" applyAlignment="1" applyProtection="1">
      <alignment vertical="center" wrapText="1"/>
      <protection locked="0"/>
    </xf>
    <xf numFmtId="0" fontId="7" fillId="2" borderId="8" xfId="0" applyFont="1" applyFill="1" applyBorder="1" applyAlignment="1" applyProtection="1">
      <alignment horizontal="center" vertical="center"/>
      <protection locked="0"/>
    </xf>
    <xf numFmtId="3" fontId="7" fillId="2" borderId="0" xfId="0" applyNumberFormat="1" applyFont="1" applyFill="1" applyAlignment="1">
      <alignment vertical="center"/>
    </xf>
    <xf numFmtId="174" fontId="7" fillId="2" borderId="8" xfId="0" applyNumberFormat="1" applyFont="1" applyFill="1" applyBorder="1" applyAlignment="1">
      <alignment horizontal="center" vertical="center"/>
    </xf>
    <xf numFmtId="174" fontId="7" fillId="2" borderId="0" xfId="0" applyNumberFormat="1" applyFont="1" applyFill="1" applyAlignment="1">
      <alignment horizontal="center" vertical="center"/>
    </xf>
    <xf numFmtId="3" fontId="7" fillId="2" borderId="8" xfId="0" applyNumberFormat="1" applyFont="1" applyFill="1" applyBorder="1" applyAlignment="1">
      <alignment vertical="justify"/>
    </xf>
    <xf numFmtId="169" fontId="7" fillId="0" borderId="0" xfId="0" applyNumberFormat="1" applyFont="1" applyProtection="1">
      <protection locked="0"/>
    </xf>
    <xf numFmtId="0" fontId="7" fillId="2" borderId="9" xfId="0" applyFont="1" applyFill="1" applyBorder="1" applyAlignment="1" applyProtection="1">
      <alignment horizontal="center" vertical="center"/>
      <protection locked="0"/>
    </xf>
    <xf numFmtId="174" fontId="7" fillId="2" borderId="8" xfId="0" applyNumberFormat="1" applyFont="1" applyFill="1" applyBorder="1" applyProtection="1">
      <protection locked="0"/>
    </xf>
    <xf numFmtId="174" fontId="7" fillId="2" borderId="0" xfId="0" applyNumberFormat="1" applyFont="1" applyFill="1" applyAlignment="1" applyProtection="1">
      <alignment horizontal="center" vertical="center"/>
      <protection locked="0"/>
    </xf>
    <xf numFmtId="0" fontId="7" fillId="2" borderId="8" xfId="0" applyFont="1" applyFill="1" applyBorder="1" applyAlignment="1" applyProtection="1">
      <alignment horizontal="justify" vertical="center"/>
      <protection locked="0"/>
    </xf>
    <xf numFmtId="177" fontId="7" fillId="0" borderId="0" xfId="2" applyNumberFormat="1" applyFont="1" applyFill="1" applyProtection="1">
      <protection locked="0"/>
    </xf>
    <xf numFmtId="0" fontId="9" fillId="2" borderId="0" xfId="0" applyFont="1" applyFill="1" applyAlignment="1">
      <alignment vertical="center" wrapText="1"/>
    </xf>
    <xf numFmtId="0" fontId="7" fillId="2" borderId="0" xfId="0" applyFont="1" applyFill="1" applyAlignment="1" applyProtection="1">
      <alignment horizontal="justify" vertical="center"/>
      <protection locked="0"/>
    </xf>
    <xf numFmtId="166" fontId="7" fillId="0" borderId="0" xfId="2" applyFont="1" applyFill="1" applyProtection="1">
      <protection locked="0"/>
    </xf>
    <xf numFmtId="168" fontId="22" fillId="2" borderId="0" xfId="0" applyNumberFormat="1" applyFont="1" applyFill="1" applyAlignment="1">
      <alignment vertical="center"/>
    </xf>
    <xf numFmtId="168" fontId="22" fillId="2" borderId="0" xfId="0" applyNumberFormat="1" applyFont="1" applyFill="1" applyAlignment="1">
      <alignment horizontal="left" vertical="center"/>
    </xf>
    <xf numFmtId="0" fontId="7" fillId="2" borderId="8" xfId="0" applyFont="1" applyFill="1" applyBorder="1" applyAlignment="1" applyProtection="1">
      <alignment horizontal="center"/>
      <protection locked="0"/>
    </xf>
    <xf numFmtId="168" fontId="7" fillId="2" borderId="12" xfId="0" applyNumberFormat="1" applyFont="1" applyFill="1" applyBorder="1" applyAlignment="1" applyProtection="1">
      <alignment horizontal="left"/>
      <protection locked="0"/>
    </xf>
    <xf numFmtId="168" fontId="7" fillId="2" borderId="13" xfId="0" applyNumberFormat="1" applyFont="1" applyFill="1" applyBorder="1" applyAlignment="1" applyProtection="1">
      <alignment horizontal="left"/>
      <protection locked="0"/>
    </xf>
    <xf numFmtId="168" fontId="7" fillId="2" borderId="0" xfId="0" applyNumberFormat="1" applyFont="1" applyFill="1" applyAlignment="1" applyProtection="1">
      <alignment horizontal="left"/>
      <protection locked="0"/>
    </xf>
    <xf numFmtId="0" fontId="7" fillId="2" borderId="11" xfId="0" applyFont="1" applyFill="1" applyBorder="1" applyAlignment="1" applyProtection="1">
      <alignment horizontal="center" vertical="center" wrapText="1"/>
      <protection locked="0"/>
    </xf>
    <xf numFmtId="0" fontId="7" fillId="2" borderId="0" xfId="0" applyFont="1" applyFill="1" applyAlignment="1">
      <alignment horizontal="left" vertical="center" wrapText="1"/>
    </xf>
    <xf numFmtId="174" fontId="9" fillId="2" borderId="0" xfId="0" applyNumberFormat="1" applyFont="1" applyFill="1" applyAlignment="1" applyProtection="1">
      <alignment horizontal="center" wrapText="1"/>
      <protection locked="0"/>
    </xf>
    <xf numFmtId="167" fontId="9" fillId="2" borderId="0" xfId="0" applyNumberFormat="1" applyFont="1" applyFill="1" applyAlignment="1" applyProtection="1">
      <alignment horizontal="center" vertical="center" wrapText="1"/>
      <protection locked="0"/>
    </xf>
    <xf numFmtId="0" fontId="11" fillId="2" borderId="0" xfId="0" applyFont="1" applyFill="1" applyAlignment="1">
      <alignment horizontal="left" vertical="center" wrapText="1"/>
    </xf>
    <xf numFmtId="1" fontId="24" fillId="2" borderId="0" xfId="0" applyNumberFormat="1" applyFont="1" applyFill="1" applyAlignment="1">
      <alignment horizontal="center" vertical="center" wrapText="1"/>
    </xf>
    <xf numFmtId="174" fontId="24" fillId="2" borderId="0" xfId="0" applyNumberFormat="1" applyFont="1" applyFill="1" applyAlignment="1">
      <alignment horizontal="center" vertical="center" wrapText="1"/>
    </xf>
    <xf numFmtId="167" fontId="11" fillId="2" borderId="0" xfId="0" applyNumberFormat="1" applyFont="1" applyFill="1" applyAlignment="1">
      <alignment horizontal="center" vertical="center" wrapText="1"/>
    </xf>
    <xf numFmtId="0" fontId="7" fillId="2" borderId="5" xfId="0" applyFont="1" applyFill="1" applyBorder="1" applyAlignment="1">
      <alignment horizontal="left" vertical="center" wrapText="1"/>
    </xf>
    <xf numFmtId="167" fontId="11" fillId="2" borderId="8" xfId="0" applyNumberFormat="1" applyFont="1" applyFill="1" applyBorder="1" applyAlignment="1">
      <alignment horizontal="center" vertical="center" wrapText="1"/>
    </xf>
    <xf numFmtId="0" fontId="9" fillId="2" borderId="12" xfId="0" applyFont="1" applyFill="1" applyBorder="1" applyAlignment="1" applyProtection="1">
      <alignment horizontal="center" vertical="center"/>
      <protection locked="0"/>
    </xf>
    <xf numFmtId="167" fontId="9" fillId="2" borderId="0" xfId="0" applyNumberFormat="1" applyFont="1" applyFill="1" applyAlignment="1" applyProtection="1">
      <alignment vertical="center" wrapText="1"/>
      <protection locked="0"/>
    </xf>
    <xf numFmtId="0" fontId="9" fillId="2" borderId="0" xfId="0" applyFont="1" applyFill="1" applyAlignment="1" applyProtection="1">
      <alignment vertical="center"/>
      <protection locked="0"/>
    </xf>
    <xf numFmtId="0" fontId="7" fillId="2" borderId="6" xfId="0" applyFont="1" applyFill="1" applyBorder="1" applyAlignment="1">
      <alignment horizontal="left" vertical="center" wrapText="1"/>
    </xf>
    <xf numFmtId="0" fontId="7" fillId="2" borderId="12" xfId="0" applyFont="1" applyFill="1" applyBorder="1" applyAlignment="1">
      <alignment horizontal="left" vertical="center" wrapText="1"/>
    </xf>
    <xf numFmtId="167" fontId="9" fillId="2" borderId="12" xfId="0" applyNumberFormat="1" applyFont="1" applyFill="1" applyBorder="1" applyAlignment="1" applyProtection="1">
      <alignment horizontal="center" vertical="center" wrapText="1"/>
      <protection locked="0"/>
    </xf>
    <xf numFmtId="0" fontId="11" fillId="2" borderId="12" xfId="0" applyFont="1" applyFill="1" applyBorder="1" applyAlignment="1">
      <alignment horizontal="left" vertical="center" wrapText="1"/>
    </xf>
    <xf numFmtId="1" fontId="24" fillId="2" borderId="12" xfId="0" applyNumberFormat="1" applyFont="1" applyFill="1" applyBorder="1" applyAlignment="1">
      <alignment horizontal="center" vertical="center" wrapText="1"/>
    </xf>
    <xf numFmtId="174" fontId="24" fillId="2" borderId="12" xfId="0" applyNumberFormat="1" applyFont="1" applyFill="1" applyBorder="1" applyAlignment="1">
      <alignment horizontal="center" vertical="center" wrapText="1"/>
    </xf>
    <xf numFmtId="167" fontId="11" fillId="2" borderId="12" xfId="0" applyNumberFormat="1" applyFont="1" applyFill="1" applyBorder="1" applyAlignment="1">
      <alignment horizontal="center" vertical="center" wrapText="1"/>
    </xf>
    <xf numFmtId="167" fontId="11" fillId="2" borderId="13" xfId="0" applyNumberFormat="1" applyFont="1" applyFill="1" applyBorder="1" applyAlignment="1">
      <alignment horizontal="center" vertical="center" wrapText="1"/>
    </xf>
    <xf numFmtId="0" fontId="7" fillId="2" borderId="0" xfId="0" applyFont="1" applyFill="1" applyAlignment="1" applyProtection="1">
      <alignment horizontal="center" wrapText="1"/>
      <protection locked="0"/>
    </xf>
    <xf numFmtId="0" fontId="11" fillId="2" borderId="0" xfId="0" applyFont="1" applyFill="1" applyAlignment="1">
      <alignment horizontal="center" vertical="center" wrapText="1"/>
    </xf>
    <xf numFmtId="0" fontId="9" fillId="2" borderId="5" xfId="0" applyFont="1" applyFill="1" applyBorder="1" applyAlignment="1">
      <alignment horizontal="center" vertical="center"/>
    </xf>
    <xf numFmtId="0" fontId="9" fillId="2" borderId="9" xfId="0" applyFont="1" applyFill="1" applyBorder="1" applyAlignment="1">
      <alignment horizontal="center" vertical="center"/>
    </xf>
    <xf numFmtId="0" fontId="9" fillId="2" borderId="8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 textRotation="90"/>
    </xf>
    <xf numFmtId="0" fontId="9" fillId="2" borderId="0" xfId="0" applyFont="1" applyFill="1" applyAlignment="1" applyProtection="1">
      <alignment horizontal="center" vertical="center" textRotation="90"/>
      <protection locked="0"/>
    </xf>
    <xf numFmtId="0" fontId="7" fillId="2" borderId="0" xfId="0" applyFont="1" applyFill="1" applyAlignment="1" applyProtection="1">
      <alignment horizontal="center" vertical="center" textRotation="90"/>
      <protection locked="0"/>
    </xf>
    <xf numFmtId="0" fontId="7" fillId="2" borderId="3" xfId="0" applyFont="1" applyFill="1" applyBorder="1" applyAlignment="1" applyProtection="1">
      <alignment vertical="top"/>
      <protection locked="0"/>
    </xf>
    <xf numFmtId="0" fontId="7" fillId="2" borderId="5" xfId="0" applyFont="1" applyFill="1" applyBorder="1" applyAlignment="1" applyProtection="1">
      <alignment vertical="top"/>
      <protection locked="0"/>
    </xf>
    <xf numFmtId="0" fontId="7" fillId="2" borderId="0" xfId="0" applyFont="1" applyFill="1" applyAlignment="1">
      <alignment horizontal="center" vertical="top" textRotation="90"/>
    </xf>
    <xf numFmtId="0" fontId="9" fillId="2" borderId="0" xfId="0" applyFont="1" applyFill="1" applyAlignment="1" applyProtection="1">
      <alignment horizontal="center" vertical="top" textRotation="90"/>
      <protection locked="0"/>
    </xf>
    <xf numFmtId="0" fontId="7" fillId="2" borderId="0" xfId="0" applyFont="1" applyFill="1" applyAlignment="1" applyProtection="1">
      <alignment horizontal="left" wrapText="1"/>
      <protection locked="0"/>
    </xf>
    <xf numFmtId="0" fontId="12" fillId="2" borderId="8" xfId="0" applyFont="1" applyFill="1" applyBorder="1" applyAlignment="1" applyProtection="1">
      <alignment vertical="top"/>
      <protection locked="0"/>
    </xf>
    <xf numFmtId="0" fontId="26" fillId="2" borderId="7" xfId="0" applyFont="1" applyFill="1" applyBorder="1" applyAlignment="1" applyProtection="1">
      <alignment vertical="top" textRotation="255"/>
      <protection locked="0"/>
    </xf>
    <xf numFmtId="0" fontId="7" fillId="0" borderId="0" xfId="0" applyFont="1" applyAlignment="1" applyProtection="1">
      <alignment vertical="top"/>
      <protection locked="0"/>
    </xf>
    <xf numFmtId="0" fontId="12" fillId="2" borderId="8" xfId="0" applyFont="1" applyFill="1" applyBorder="1" applyProtection="1">
      <protection locked="0"/>
    </xf>
    <xf numFmtId="0" fontId="12" fillId="2" borderId="0" xfId="0" applyFont="1" applyFill="1" applyProtection="1">
      <protection locked="0"/>
    </xf>
    <xf numFmtId="0" fontId="7" fillId="2" borderId="0" xfId="0" applyFont="1" applyFill="1" applyAlignment="1">
      <alignment horizontal="left" vertical="top" wrapText="1"/>
    </xf>
    <xf numFmtId="0" fontId="7" fillId="2" borderId="8" xfId="0" applyFont="1" applyFill="1" applyBorder="1" applyAlignment="1">
      <alignment horizontal="left" wrapText="1"/>
    </xf>
    <xf numFmtId="0" fontId="13" fillId="2" borderId="12" xfId="0" applyFont="1" applyFill="1" applyBorder="1" applyAlignment="1">
      <alignment textRotation="90"/>
    </xf>
    <xf numFmtId="0" fontId="7" fillId="2" borderId="12" xfId="0" applyFont="1" applyFill="1" applyBorder="1" applyAlignment="1">
      <alignment horizontal="center" vertical="center" textRotation="90"/>
    </xf>
    <xf numFmtId="0" fontId="9" fillId="2" borderId="12" xfId="0" applyFont="1" applyFill="1" applyBorder="1" applyAlignment="1" applyProtection="1">
      <alignment horizontal="center" vertical="center" textRotation="90"/>
      <protection locked="0"/>
    </xf>
    <xf numFmtId="0" fontId="7" fillId="2" borderId="12" xfId="0" applyFont="1" applyFill="1" applyBorder="1" applyAlignment="1">
      <alignment horizontal="left" vertical="top" wrapText="1"/>
    </xf>
    <xf numFmtId="0" fontId="7" fillId="2" borderId="0" xfId="0" applyFont="1" applyFill="1" applyAlignment="1" applyProtection="1">
      <alignment wrapText="1"/>
      <protection locked="0"/>
    </xf>
    <xf numFmtId="170" fontId="7" fillId="2" borderId="0" xfId="3" applyNumberFormat="1" applyFont="1" applyFill="1" applyBorder="1" applyAlignment="1" applyProtection="1">
      <alignment horizontal="right" vertical="top" wrapText="1"/>
      <protection locked="0"/>
    </xf>
    <xf numFmtId="0" fontId="31" fillId="2" borderId="4" xfId="0" applyFont="1" applyFill="1" applyBorder="1" applyAlignment="1" applyProtection="1">
      <alignment horizontal="center" vertical="center"/>
      <protection locked="0"/>
    </xf>
    <xf numFmtId="0" fontId="31" fillId="2" borderId="9" xfId="0" applyFont="1" applyFill="1" applyBorder="1" applyAlignment="1" applyProtection="1">
      <alignment horizontal="center" vertical="center"/>
      <protection locked="0"/>
    </xf>
    <xf numFmtId="0" fontId="31" fillId="2" borderId="10" xfId="0" applyFont="1" applyFill="1" applyBorder="1" applyAlignment="1" applyProtection="1">
      <alignment horizontal="center" vertical="center"/>
      <protection locked="0"/>
    </xf>
    <xf numFmtId="0" fontId="7" fillId="2" borderId="7" xfId="0" applyFont="1" applyFill="1" applyBorder="1" applyAlignment="1" applyProtection="1">
      <alignment vertical="center"/>
      <protection locked="0"/>
    </xf>
    <xf numFmtId="0" fontId="7" fillId="2" borderId="4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27" fillId="2" borderId="4" xfId="0" applyFont="1" applyFill="1" applyBorder="1" applyAlignment="1" applyProtection="1">
      <alignment horizontal="center" vertical="center"/>
      <protection locked="0"/>
    </xf>
    <xf numFmtId="0" fontId="27" fillId="2" borderId="9" xfId="0" applyFont="1" applyFill="1" applyBorder="1" applyAlignment="1" applyProtection="1">
      <alignment horizontal="center" vertical="center"/>
      <protection locked="0"/>
    </xf>
    <xf numFmtId="0" fontId="27" fillId="2" borderId="10" xfId="0" applyFont="1" applyFill="1" applyBorder="1" applyAlignment="1" applyProtection="1">
      <alignment horizontal="center" vertical="center"/>
      <protection locked="0"/>
    </xf>
    <xf numFmtId="0" fontId="9" fillId="2" borderId="3" xfId="0" applyFont="1" applyFill="1" applyBorder="1" applyProtection="1">
      <protection locked="0"/>
    </xf>
    <xf numFmtId="0" fontId="9" fillId="2" borderId="5" xfId="0" applyFont="1" applyFill="1" applyBorder="1" applyAlignment="1" applyProtection="1">
      <alignment horizontal="center" vertical="center"/>
      <protection locked="0"/>
    </xf>
    <xf numFmtId="0" fontId="9" fillId="2" borderId="0" xfId="0" applyFont="1" applyFill="1" applyAlignment="1" applyProtection="1">
      <alignment horizontal="center"/>
      <protection locked="0"/>
    </xf>
    <xf numFmtId="0" fontId="9" fillId="2" borderId="8" xfId="0" applyFont="1" applyFill="1" applyBorder="1" applyAlignment="1" applyProtection="1">
      <alignment horizontal="center" vertical="center"/>
      <protection locked="0"/>
    </xf>
    <xf numFmtId="0" fontId="9" fillId="2" borderId="0" xfId="0" applyFont="1" applyFill="1" applyProtection="1">
      <protection locked="0"/>
    </xf>
    <xf numFmtId="0" fontId="9" fillId="2" borderId="7" xfId="0" applyFont="1" applyFill="1" applyBorder="1" applyAlignment="1" applyProtection="1">
      <alignment vertical="center"/>
      <protection locked="0"/>
    </xf>
    <xf numFmtId="0" fontId="9" fillId="0" borderId="0" xfId="0" applyFont="1" applyProtection="1">
      <protection locked="0"/>
    </xf>
    <xf numFmtId="0" fontId="7" fillId="2" borderId="5" xfId="0" applyFont="1" applyFill="1" applyBorder="1" applyAlignment="1" applyProtection="1">
      <alignment horizontal="right"/>
      <protection locked="0"/>
    </xf>
    <xf numFmtId="49" fontId="9" fillId="2" borderId="0" xfId="0" applyNumberFormat="1" applyFont="1" applyFill="1" applyProtection="1">
      <protection locked="0"/>
    </xf>
    <xf numFmtId="49" fontId="24" fillId="2" borderId="0" xfId="0" applyNumberFormat="1" applyFont="1" applyFill="1" applyProtection="1">
      <protection locked="0"/>
    </xf>
    <xf numFmtId="49" fontId="24" fillId="2" borderId="8" xfId="0" applyNumberFormat="1" applyFont="1" applyFill="1" applyBorder="1" applyProtection="1">
      <protection locked="0"/>
    </xf>
    <xf numFmtId="0" fontId="27" fillId="2" borderId="5" xfId="0" applyFont="1" applyFill="1" applyBorder="1" applyAlignment="1" applyProtection="1">
      <alignment horizontal="right" wrapText="1"/>
      <protection locked="0"/>
    </xf>
    <xf numFmtId="0" fontId="27" fillId="2" borderId="0" xfId="0" applyFont="1" applyFill="1" applyProtection="1">
      <protection locked="0"/>
    </xf>
    <xf numFmtId="0" fontId="27" fillId="2" borderId="8" xfId="0" applyFont="1" applyFill="1" applyBorder="1" applyAlignment="1" applyProtection="1">
      <alignment horizontal="center"/>
      <protection locked="0"/>
    </xf>
    <xf numFmtId="0" fontId="7" fillId="2" borderId="5" xfId="0" applyFont="1" applyFill="1" applyBorder="1" applyAlignment="1" applyProtection="1">
      <alignment horizontal="left"/>
      <protection locked="0"/>
    </xf>
    <xf numFmtId="0" fontId="11" fillId="2" borderId="11" xfId="0" applyFont="1" applyFill="1" applyBorder="1" applyAlignment="1" applyProtection="1">
      <alignment horizontal="center" vertical="center"/>
      <protection locked="0"/>
    </xf>
    <xf numFmtId="0" fontId="24" fillId="2" borderId="8" xfId="0" applyFont="1" applyFill="1" applyBorder="1" applyAlignment="1" applyProtection="1">
      <alignment horizontal="center"/>
      <protection locked="0"/>
    </xf>
    <xf numFmtId="0" fontId="24" fillId="2" borderId="0" xfId="0" applyFont="1" applyFill="1" applyAlignment="1" applyProtection="1">
      <alignment horizontal="center"/>
      <protection locked="0"/>
    </xf>
    <xf numFmtId="0" fontId="27" fillId="2" borderId="5" xfId="0" applyFont="1" applyFill="1" applyBorder="1" applyAlignment="1" applyProtection="1">
      <alignment horizontal="right"/>
      <protection locked="0"/>
    </xf>
    <xf numFmtId="0" fontId="27" fillId="2" borderId="11" xfId="0" applyFont="1" applyFill="1" applyBorder="1" applyAlignment="1" applyProtection="1">
      <alignment horizontal="center" vertical="center"/>
      <protection locked="0"/>
    </xf>
    <xf numFmtId="0" fontId="27" fillId="2" borderId="0" xfId="0" applyFont="1" applyFill="1" applyAlignment="1">
      <alignment wrapText="1"/>
    </xf>
    <xf numFmtId="0" fontId="27" fillId="2" borderId="11" xfId="0" applyFont="1" applyFill="1" applyBorder="1" applyAlignment="1" applyProtection="1">
      <alignment horizontal="center" vertical="center" wrapText="1"/>
      <protection locked="0"/>
    </xf>
    <xf numFmtId="0" fontId="27" fillId="2" borderId="5" xfId="0" applyFont="1" applyFill="1" applyBorder="1" applyProtection="1">
      <protection locked="0"/>
    </xf>
    <xf numFmtId="0" fontId="27" fillId="2" borderId="0" xfId="0" applyFont="1" applyFill="1" applyAlignment="1" applyProtection="1">
      <alignment horizontal="left"/>
      <protection locked="0"/>
    </xf>
    <xf numFmtId="0" fontId="27" fillId="2" borderId="0" xfId="0" applyFont="1" applyFill="1" applyAlignment="1" applyProtection="1">
      <alignment horizontal="right"/>
      <protection locked="0"/>
    </xf>
    <xf numFmtId="0" fontId="27" fillId="2" borderId="0" xfId="0" applyFont="1" applyFill="1" applyAlignment="1" applyProtection="1">
      <alignment horizontal="center"/>
      <protection locked="0"/>
    </xf>
    <xf numFmtId="0" fontId="9" fillId="2" borderId="0" xfId="0" applyFont="1" applyFill="1" applyAlignment="1" applyProtection="1">
      <alignment horizontal="left"/>
      <protection locked="0"/>
    </xf>
    <xf numFmtId="0" fontId="31" fillId="2" borderId="0" xfId="0" applyFont="1" applyFill="1" applyProtection="1">
      <protection locked="0"/>
    </xf>
    <xf numFmtId="0" fontId="7" fillId="2" borderId="0" xfId="0" applyFont="1" applyFill="1" applyAlignment="1" applyProtection="1">
      <alignment horizontal="left" vertical="center" wrapText="1"/>
      <protection locked="0"/>
    </xf>
    <xf numFmtId="0" fontId="7" fillId="2" borderId="0" xfId="0" applyFont="1" applyFill="1" applyAlignment="1">
      <alignment horizontal="right" wrapText="1"/>
    </xf>
    <xf numFmtId="49" fontId="7" fillId="2" borderId="0" xfId="0" applyNumberFormat="1" applyFont="1" applyFill="1" applyProtection="1">
      <protection locked="0"/>
    </xf>
    <xf numFmtId="49" fontId="27" fillId="2" borderId="0" xfId="0" applyNumberFormat="1" applyFont="1" applyFill="1" applyProtection="1">
      <protection locked="0"/>
    </xf>
    <xf numFmtId="49" fontId="7" fillId="2" borderId="0" xfId="0" applyNumberFormat="1" applyFont="1" applyFill="1" applyAlignment="1" applyProtection="1">
      <alignment horizontal="right"/>
      <protection locked="0"/>
    </xf>
    <xf numFmtId="0" fontId="31" fillId="2" borderId="0" xfId="0" applyFont="1" applyFill="1" applyAlignment="1" applyProtection="1">
      <alignment horizontal="center"/>
      <protection locked="0"/>
    </xf>
    <xf numFmtId="49" fontId="27" fillId="2" borderId="0" xfId="0" applyNumberFormat="1" applyFont="1" applyFill="1" applyAlignment="1" applyProtection="1">
      <alignment horizontal="right"/>
      <protection locked="0"/>
    </xf>
    <xf numFmtId="0" fontId="7" fillId="2" borderId="0" xfId="0" applyFont="1" applyFill="1" applyAlignment="1" applyProtection="1">
      <alignment horizontal="left" vertical="top"/>
      <protection locked="0"/>
    </xf>
    <xf numFmtId="0" fontId="24" fillId="2" borderId="11" xfId="0" applyFont="1" applyFill="1" applyBorder="1" applyAlignment="1" applyProtection="1">
      <alignment horizontal="center"/>
      <protection locked="0"/>
    </xf>
    <xf numFmtId="0" fontId="27" fillId="2" borderId="8" xfId="0" applyFont="1" applyFill="1" applyBorder="1" applyProtection="1">
      <protection locked="0"/>
    </xf>
    <xf numFmtId="0" fontId="27" fillId="2" borderId="0" xfId="0" applyFont="1" applyFill="1" applyAlignment="1" applyProtection="1">
      <alignment horizontal="center" vertical="center"/>
      <protection locked="0"/>
    </xf>
    <xf numFmtId="0" fontId="27" fillId="0" borderId="5" xfId="0" applyFont="1" applyBorder="1" applyProtection="1">
      <protection locked="0"/>
    </xf>
    <xf numFmtId="0" fontId="27" fillId="2" borderId="8" xfId="0" applyFont="1" applyFill="1" applyBorder="1" applyAlignment="1" applyProtection="1">
      <alignment horizontal="left"/>
      <protection locked="0"/>
    </xf>
    <xf numFmtId="0" fontId="27" fillId="2" borderId="5" xfId="0" applyFont="1" applyFill="1" applyBorder="1" applyAlignment="1" applyProtection="1">
      <alignment horizontal="right" vertical="center"/>
      <protection locked="0"/>
    </xf>
    <xf numFmtId="0" fontId="27" fillId="2" borderId="11" xfId="0" applyFont="1" applyFill="1" applyBorder="1" applyProtection="1">
      <protection locked="0"/>
    </xf>
    <xf numFmtId="0" fontId="27" fillId="2" borderId="20" xfId="0" applyFont="1" applyFill="1" applyBorder="1" applyProtection="1">
      <protection locked="0"/>
    </xf>
    <xf numFmtId="0" fontId="7" fillId="2" borderId="6" xfId="0" applyFont="1" applyFill="1" applyBorder="1" applyAlignment="1" applyProtection="1">
      <alignment vertical="center"/>
      <protection locked="0"/>
    </xf>
    <xf numFmtId="171" fontId="9" fillId="2" borderId="0" xfId="0" applyNumberFormat="1" applyFont="1" applyFill="1" applyAlignment="1" applyProtection="1">
      <alignment wrapText="1"/>
      <protection locked="0"/>
    </xf>
    <xf numFmtId="175" fontId="7" fillId="2" borderId="0" xfId="0" applyNumberFormat="1" applyFont="1" applyFill="1" applyAlignment="1" applyProtection="1">
      <alignment wrapText="1"/>
      <protection locked="0"/>
    </xf>
    <xf numFmtId="171" fontId="7" fillId="2" borderId="0" xfId="0" applyNumberFormat="1" applyFont="1" applyFill="1" applyAlignment="1" applyProtection="1">
      <alignment wrapText="1"/>
      <protection locked="0"/>
    </xf>
    <xf numFmtId="0" fontId="9" fillId="2" borderId="0" xfId="0" applyFont="1" applyFill="1" applyAlignment="1">
      <alignment wrapText="1"/>
    </xf>
    <xf numFmtId="175" fontId="27" fillId="2" borderId="0" xfId="0" applyNumberFormat="1" applyFont="1" applyFill="1" applyAlignment="1" applyProtection="1">
      <alignment wrapText="1"/>
      <protection locked="0"/>
    </xf>
    <xf numFmtId="0" fontId="27" fillId="2" borderId="7" xfId="0" applyFont="1" applyFill="1" applyBorder="1" applyAlignment="1" applyProtection="1">
      <alignment vertical="center" textRotation="255"/>
      <protection locked="0"/>
    </xf>
    <xf numFmtId="0" fontId="27" fillId="2" borderId="10" xfId="0" applyFont="1" applyFill="1" applyBorder="1" applyProtection="1">
      <protection locked="0"/>
    </xf>
    <xf numFmtId="0" fontId="31" fillId="2" borderId="0" xfId="0" applyFont="1" applyFill="1" applyAlignment="1">
      <alignment vertical="center" wrapText="1"/>
    </xf>
    <xf numFmtId="0" fontId="31" fillId="2" borderId="0" xfId="0" applyFont="1" applyFill="1" applyAlignment="1">
      <alignment horizontal="center" vertical="center" wrapText="1"/>
    </xf>
    <xf numFmtId="175" fontId="27" fillId="2" borderId="8" xfId="0" applyNumberFormat="1" applyFont="1" applyFill="1" applyBorder="1" applyAlignment="1" applyProtection="1">
      <alignment wrapText="1"/>
      <protection locked="0"/>
    </xf>
    <xf numFmtId="0" fontId="27" fillId="2" borderId="8" xfId="0" applyFont="1" applyFill="1" applyBorder="1" applyAlignment="1" applyProtection="1">
      <alignment vertical="center"/>
      <protection locked="0"/>
    </xf>
    <xf numFmtId="0" fontId="27" fillId="2" borderId="0" xfId="0" applyFont="1" applyFill="1" applyAlignment="1" applyProtection="1">
      <alignment vertical="center"/>
      <protection locked="0"/>
    </xf>
    <xf numFmtId="0" fontId="27" fillId="2" borderId="12" xfId="0" applyFont="1" applyFill="1" applyBorder="1" applyAlignment="1" applyProtection="1">
      <alignment vertical="center"/>
      <protection locked="0"/>
    </xf>
    <xf numFmtId="0" fontId="31" fillId="2" borderId="8" xfId="0" applyFont="1" applyFill="1" applyBorder="1" applyAlignment="1" applyProtection="1">
      <alignment horizontal="center"/>
      <protection locked="0"/>
    </xf>
    <xf numFmtId="0" fontId="31" fillId="2" borderId="8" xfId="0" applyFont="1" applyFill="1" applyBorder="1" applyAlignment="1" applyProtection="1">
      <alignment horizontal="center" vertical="center"/>
      <protection locked="0"/>
    </xf>
    <xf numFmtId="0" fontId="31" fillId="2" borderId="0" xfId="0" applyFont="1" applyFill="1" applyAlignment="1" applyProtection="1">
      <alignment horizontal="center" vertical="center"/>
      <protection locked="0"/>
    </xf>
    <xf numFmtId="0" fontId="27" fillId="2" borderId="13" xfId="0" applyFont="1" applyFill="1" applyBorder="1" applyAlignment="1" applyProtection="1">
      <alignment horizontal="center"/>
      <protection locked="0"/>
    </xf>
    <xf numFmtId="0" fontId="27" fillId="2" borderId="6" xfId="0" applyFont="1" applyFill="1" applyBorder="1" applyAlignment="1" applyProtection="1">
      <alignment vertical="center"/>
      <protection locked="0"/>
    </xf>
    <xf numFmtId="0" fontId="7" fillId="2" borderId="15" xfId="0" applyFont="1" applyFill="1" applyBorder="1" applyProtection="1">
      <protection locked="0"/>
    </xf>
    <xf numFmtId="0" fontId="7" fillId="2" borderId="16" xfId="0" applyFont="1" applyFill="1" applyBorder="1" applyProtection="1">
      <protection locked="0"/>
    </xf>
    <xf numFmtId="0" fontId="7" fillId="2" borderId="16" xfId="0" applyFont="1" applyFill="1" applyBorder="1" applyAlignment="1" applyProtection="1">
      <alignment horizontal="center"/>
      <protection locked="0"/>
    </xf>
    <xf numFmtId="0" fontId="9" fillId="2" borderId="16" xfId="0" applyFont="1" applyFill="1" applyBorder="1" applyProtection="1">
      <protection locked="0"/>
    </xf>
    <xf numFmtId="0" fontId="9" fillId="2" borderId="16" xfId="0" applyFont="1" applyFill="1" applyBorder="1" applyAlignment="1" applyProtection="1">
      <alignment horizontal="center"/>
      <protection locked="0"/>
    </xf>
    <xf numFmtId="0" fontId="26" fillId="2" borderId="17" xfId="0" applyFont="1" applyFill="1" applyBorder="1" applyAlignment="1" applyProtection="1">
      <alignment vertical="center" textRotation="255"/>
      <protection locked="0"/>
    </xf>
    <xf numFmtId="0" fontId="26" fillId="2" borderId="0" xfId="0" applyFont="1" applyFill="1" applyAlignment="1" applyProtection="1">
      <alignment vertical="center" textRotation="255"/>
      <protection locked="0"/>
    </xf>
    <xf numFmtId="0" fontId="12" fillId="0" borderId="0" xfId="0" applyFont="1" applyProtection="1">
      <protection locked="0"/>
    </xf>
    <xf numFmtId="0" fontId="12" fillId="0" borderId="0" xfId="0" applyFont="1"/>
    <xf numFmtId="0" fontId="11" fillId="0" borderId="0" xfId="0" applyFont="1" applyProtection="1">
      <protection locked="0"/>
    </xf>
    <xf numFmtId="172" fontId="11" fillId="0" borderId="0" xfId="0" applyNumberFormat="1" applyFont="1" applyProtection="1">
      <protection locked="0"/>
    </xf>
    <xf numFmtId="14" fontId="12" fillId="0" borderId="0" xfId="0" applyNumberFormat="1" applyFont="1"/>
    <xf numFmtId="0" fontId="12" fillId="0" borderId="0" xfId="0" applyFont="1" applyAlignment="1" applyProtection="1">
      <alignment horizontal="right"/>
      <protection locked="0"/>
    </xf>
    <xf numFmtId="1" fontId="12" fillId="0" borderId="0" xfId="0" applyNumberFormat="1" applyFont="1"/>
    <xf numFmtId="49" fontId="12" fillId="0" borderId="0" xfId="0" applyNumberFormat="1" applyFont="1" applyProtection="1">
      <protection locked="0"/>
    </xf>
    <xf numFmtId="0" fontId="12" fillId="0" borderId="11" xfId="0" applyFont="1" applyBorder="1"/>
    <xf numFmtId="0" fontId="12" fillId="0" borderId="14" xfId="0" applyFont="1" applyBorder="1"/>
    <xf numFmtId="0" fontId="17" fillId="3" borderId="0" xfId="0" applyFont="1" applyFill="1" applyAlignment="1">
      <alignment vertical="center"/>
    </xf>
    <xf numFmtId="173" fontId="12" fillId="0" borderId="0" xfId="0" applyNumberFormat="1" applyFont="1" applyProtection="1">
      <protection locked="0"/>
    </xf>
    <xf numFmtId="0" fontId="8" fillId="0" borderId="0" xfId="0" applyFont="1" applyAlignment="1">
      <alignment vertical="center"/>
    </xf>
    <xf numFmtId="0" fontId="6" fillId="0" borderId="0" xfId="0" applyFont="1" applyProtection="1">
      <protection locked="0"/>
    </xf>
    <xf numFmtId="0" fontId="16" fillId="2" borderId="0" xfId="0" applyFont="1" applyFill="1" applyAlignment="1">
      <alignment horizontal="left" vertical="center" wrapText="1"/>
    </xf>
    <xf numFmtId="0" fontId="16" fillId="2" borderId="0" xfId="0" applyFont="1" applyFill="1" applyAlignment="1">
      <alignment horizontal="left"/>
    </xf>
    <xf numFmtId="0" fontId="16" fillId="2" borderId="0" xfId="0" applyFont="1" applyFill="1" applyAlignment="1">
      <alignment horizontal="left" vertical="center"/>
    </xf>
    <xf numFmtId="0" fontId="16" fillId="2" borderId="0" xfId="0" applyFont="1" applyFill="1" applyAlignment="1">
      <alignment horizontal="center" vertical="center"/>
    </xf>
    <xf numFmtId="0" fontId="15" fillId="2" borderId="28" xfId="0" applyFont="1" applyFill="1" applyBorder="1" applyAlignment="1">
      <alignment horizontal="right"/>
    </xf>
    <xf numFmtId="0" fontId="15" fillId="2" borderId="0" xfId="0" applyFont="1" applyFill="1"/>
    <xf numFmtId="0" fontId="15" fillId="2" borderId="0" xfId="0" applyFont="1" applyFill="1" applyAlignment="1">
      <alignment vertical="top" wrapText="1"/>
    </xf>
    <xf numFmtId="0" fontId="7" fillId="2" borderId="21" xfId="0" applyFont="1" applyFill="1" applyBorder="1" applyAlignment="1">
      <alignment horizontal="left" vertical="center" wrapText="1"/>
    </xf>
    <xf numFmtId="0" fontId="31" fillId="2" borderId="5" xfId="0" applyFont="1" applyFill="1" applyBorder="1" applyAlignment="1" applyProtection="1">
      <alignment horizontal="left" vertical="center"/>
      <protection locked="0"/>
    </xf>
    <xf numFmtId="0" fontId="31" fillId="2" borderId="0" xfId="0" applyFont="1" applyFill="1" applyAlignment="1" applyProtection="1">
      <alignment horizontal="left" vertical="center"/>
      <protection locked="0"/>
    </xf>
    <xf numFmtId="175" fontId="27" fillId="2" borderId="4" xfId="0" applyNumberFormat="1" applyFont="1" applyFill="1" applyBorder="1" applyProtection="1">
      <protection locked="0"/>
    </xf>
    <xf numFmtId="0" fontId="31" fillId="2" borderId="9" xfId="0" applyFont="1" applyFill="1" applyBorder="1" applyAlignment="1">
      <alignment horizontal="center"/>
    </xf>
    <xf numFmtId="175" fontId="27" fillId="2" borderId="5" xfId="0" applyNumberFormat="1" applyFont="1" applyFill="1" applyBorder="1" applyProtection="1">
      <protection locked="0"/>
    </xf>
    <xf numFmtId="175" fontId="27" fillId="2" borderId="0" xfId="0" applyNumberFormat="1" applyFont="1" applyFill="1" applyAlignment="1" applyProtection="1">
      <alignment vertical="center"/>
      <protection locked="0"/>
    </xf>
    <xf numFmtId="171" fontId="27" fillId="2" borderId="0" xfId="0" applyNumberFormat="1" applyFont="1" applyFill="1" applyAlignment="1" applyProtection="1">
      <alignment vertical="center"/>
      <protection locked="0"/>
    </xf>
    <xf numFmtId="0" fontId="31" fillId="2" borderId="0" xfId="0" applyFont="1" applyFill="1" applyAlignment="1">
      <alignment vertical="center"/>
    </xf>
    <xf numFmtId="0" fontId="31" fillId="2" borderId="0" xfId="0" applyFont="1" applyFill="1" applyAlignment="1">
      <alignment horizontal="left" vertical="center"/>
    </xf>
    <xf numFmtId="175" fontId="31" fillId="2" borderId="9" xfId="0" applyNumberFormat="1" applyFont="1" applyFill="1" applyBorder="1" applyAlignment="1" applyProtection="1">
      <alignment vertical="center"/>
      <protection locked="0"/>
    </xf>
    <xf numFmtId="0" fontId="31" fillId="2" borderId="9" xfId="0" applyFont="1" applyFill="1" applyBorder="1" applyAlignment="1">
      <alignment vertical="center"/>
    </xf>
    <xf numFmtId="0" fontId="31" fillId="2" borderId="5" xfId="0" applyFont="1" applyFill="1" applyBorder="1" applyAlignment="1" applyProtection="1">
      <alignment vertical="center"/>
      <protection locked="0"/>
    </xf>
    <xf numFmtId="0" fontId="31" fillId="2" borderId="0" xfId="0" applyFont="1" applyFill="1" applyAlignment="1" applyProtection="1">
      <alignment vertical="center"/>
      <protection locked="0"/>
    </xf>
    <xf numFmtId="0" fontId="31" fillId="2" borderId="12" xfId="0" applyFont="1" applyFill="1" applyBorder="1" applyAlignment="1" applyProtection="1">
      <alignment vertical="center"/>
      <protection locked="0"/>
    </xf>
    <xf numFmtId="0" fontId="27" fillId="2" borderId="12" xfId="0" applyFont="1" applyFill="1" applyBorder="1" applyAlignment="1" applyProtection="1">
      <alignment horizontal="center" vertical="center"/>
      <protection locked="0"/>
    </xf>
    <xf numFmtId="0" fontId="7" fillId="2" borderId="12" xfId="0" applyFont="1" applyFill="1" applyBorder="1" applyAlignment="1">
      <alignment horizontal="right"/>
    </xf>
    <xf numFmtId="0" fontId="31" fillId="2" borderId="4" xfId="0" applyFont="1" applyFill="1" applyBorder="1" applyAlignment="1">
      <alignment horizontal="center" vertical="center" wrapText="1"/>
    </xf>
    <xf numFmtId="0" fontId="31" fillId="2" borderId="9" xfId="0" applyFont="1" applyFill="1" applyBorder="1" applyAlignment="1">
      <alignment horizontal="center" vertical="center" wrapText="1"/>
    </xf>
    <xf numFmtId="0" fontId="31" fillId="2" borderId="10" xfId="0" applyFont="1" applyFill="1" applyBorder="1" applyAlignment="1">
      <alignment horizontal="center" vertical="center" wrapText="1"/>
    </xf>
    <xf numFmtId="0" fontId="31" fillId="2" borderId="6" xfId="0" applyFont="1" applyFill="1" applyBorder="1" applyAlignment="1">
      <alignment horizontal="center" vertical="center" wrapText="1"/>
    </xf>
    <xf numFmtId="0" fontId="31" fillId="2" borderId="12" xfId="0" applyFont="1" applyFill="1" applyBorder="1" applyAlignment="1">
      <alignment horizontal="center" vertical="center" wrapText="1"/>
    </xf>
    <xf numFmtId="0" fontId="31" fillId="2" borderId="13" xfId="0" applyFont="1" applyFill="1" applyBorder="1" applyAlignment="1">
      <alignment horizontal="center" vertical="center" wrapText="1"/>
    </xf>
    <xf numFmtId="0" fontId="7" fillId="2" borderId="12" xfId="0" applyFont="1" applyFill="1" applyBorder="1" applyAlignment="1" applyProtection="1">
      <alignment horizontal="center" vertical="center"/>
      <protection locked="0"/>
    </xf>
    <xf numFmtId="0" fontId="7" fillId="0" borderId="19" xfId="0" applyFont="1" applyBorder="1" applyAlignment="1" applyProtection="1">
      <alignment horizontal="center"/>
      <protection locked="0"/>
    </xf>
    <xf numFmtId="0" fontId="7" fillId="0" borderId="20" xfId="0" applyFont="1" applyBorder="1" applyAlignment="1" applyProtection="1">
      <alignment horizontal="center"/>
      <protection locked="0"/>
    </xf>
    <xf numFmtId="0" fontId="7" fillId="0" borderId="21" xfId="0" applyFont="1" applyBorder="1" applyAlignment="1" applyProtection="1">
      <alignment horizontal="center"/>
      <protection locked="0"/>
    </xf>
    <xf numFmtId="0" fontId="7" fillId="2" borderId="11" xfId="0" applyFont="1" applyFill="1" applyBorder="1" applyAlignment="1" applyProtection="1">
      <alignment horizontal="center"/>
      <protection locked="0"/>
    </xf>
    <xf numFmtId="167" fontId="9" fillId="2" borderId="19" xfId="0" applyNumberFormat="1" applyFont="1" applyFill="1" applyBorder="1" applyAlignment="1" applyProtection="1">
      <alignment horizontal="center" vertical="center" wrapText="1"/>
      <protection locked="0"/>
    </xf>
    <xf numFmtId="167" fontId="9" fillId="2" borderId="20" xfId="0" applyNumberFormat="1" applyFont="1" applyFill="1" applyBorder="1" applyAlignment="1" applyProtection="1">
      <alignment horizontal="center" vertical="center" wrapText="1"/>
      <protection locked="0"/>
    </xf>
    <xf numFmtId="167" fontId="9" fillId="2" borderId="21" xfId="0" applyNumberFormat="1" applyFont="1" applyFill="1" applyBorder="1" applyAlignment="1" applyProtection="1">
      <alignment horizontal="center" vertical="center" wrapText="1"/>
      <protection locked="0"/>
    </xf>
    <xf numFmtId="0" fontId="9" fillId="0" borderId="11" xfId="0" applyFont="1" applyBorder="1" applyAlignment="1" applyProtection="1">
      <alignment vertical="center"/>
      <protection locked="0"/>
    </xf>
    <xf numFmtId="0" fontId="7" fillId="2" borderId="0" xfId="0" applyFont="1" applyFill="1" applyAlignment="1" applyProtection="1">
      <alignment horizontal="center" vertical="center" wrapText="1"/>
      <protection locked="0"/>
    </xf>
    <xf numFmtId="1" fontId="7" fillId="2" borderId="0" xfId="0" applyNumberFormat="1" applyFont="1" applyFill="1" applyAlignment="1" applyProtection="1">
      <alignment horizontal="center"/>
      <protection locked="0"/>
    </xf>
    <xf numFmtId="174" fontId="7" fillId="2" borderId="4" xfId="0" applyNumberFormat="1" applyFont="1" applyFill="1" applyBorder="1" applyAlignment="1" applyProtection="1">
      <alignment horizontal="center" vertical="center"/>
      <protection locked="0"/>
    </xf>
    <xf numFmtId="174" fontId="7" fillId="2" borderId="9" xfId="0" applyNumberFormat="1" applyFont="1" applyFill="1" applyBorder="1" applyAlignment="1" applyProtection="1">
      <alignment horizontal="center" vertical="center"/>
      <protection locked="0"/>
    </xf>
    <xf numFmtId="174" fontId="7" fillId="2" borderId="10" xfId="0" applyNumberFormat="1" applyFont="1" applyFill="1" applyBorder="1" applyAlignment="1" applyProtection="1">
      <alignment horizontal="center" vertical="center"/>
      <protection locked="0"/>
    </xf>
    <xf numFmtId="174" fontId="7" fillId="2" borderId="6" xfId="0" applyNumberFormat="1" applyFont="1" applyFill="1" applyBorder="1" applyAlignment="1" applyProtection="1">
      <alignment horizontal="center" vertical="center"/>
      <protection locked="0"/>
    </xf>
    <xf numFmtId="174" fontId="7" fillId="2" borderId="12" xfId="0" applyNumberFormat="1" applyFont="1" applyFill="1" applyBorder="1" applyAlignment="1" applyProtection="1">
      <alignment horizontal="center" vertical="center"/>
      <protection locked="0"/>
    </xf>
    <xf numFmtId="174" fontId="7" fillId="2" borderId="13" xfId="0" applyNumberFormat="1" applyFont="1" applyFill="1" applyBorder="1" applyAlignment="1" applyProtection="1">
      <alignment horizontal="center" vertical="center"/>
      <protection locked="0"/>
    </xf>
    <xf numFmtId="0" fontId="7" fillId="2" borderId="0" xfId="0" applyFont="1" applyFill="1" applyAlignment="1" applyProtection="1">
      <alignment horizontal="center"/>
      <protection locked="0"/>
    </xf>
    <xf numFmtId="0" fontId="7" fillId="2" borderId="0" xfId="0" applyFont="1" applyFill="1" applyAlignment="1">
      <alignment horizontal="left"/>
    </xf>
    <xf numFmtId="1" fontId="7" fillId="2" borderId="12" xfId="0" applyNumberFormat="1" applyFont="1" applyFill="1" applyBorder="1" applyAlignment="1" applyProtection="1">
      <alignment horizontal="center" vertical="center"/>
      <protection locked="0"/>
    </xf>
    <xf numFmtId="0" fontId="9" fillId="2" borderId="5" xfId="0" applyFont="1" applyFill="1" applyBorder="1" applyAlignment="1" applyProtection="1">
      <alignment horizontal="center" vertical="center" wrapText="1"/>
      <protection locked="0"/>
    </xf>
    <xf numFmtId="0" fontId="9" fillId="2" borderId="0" xfId="0" applyFont="1" applyFill="1" applyAlignment="1" applyProtection="1">
      <alignment horizontal="center" vertical="center" wrapText="1"/>
      <protection locked="0"/>
    </xf>
    <xf numFmtId="0" fontId="7" fillId="2" borderId="0" xfId="0" applyFont="1" applyFill="1" applyAlignment="1">
      <alignment horizontal="center" vertical="center" wrapText="1"/>
    </xf>
    <xf numFmtId="0" fontId="7" fillId="2" borderId="0" xfId="0" applyFont="1" applyFill="1" applyAlignment="1" applyProtection="1">
      <alignment horizontal="right"/>
      <protection locked="0"/>
    </xf>
    <xf numFmtId="174" fontId="7" fillId="2" borderId="19" xfId="0" applyNumberFormat="1" applyFont="1" applyFill="1" applyBorder="1" applyAlignment="1">
      <alignment horizontal="center" vertical="center"/>
    </xf>
    <xf numFmtId="174" fontId="7" fillId="2" borderId="20" xfId="0" applyNumberFormat="1" applyFont="1" applyFill="1" applyBorder="1" applyAlignment="1">
      <alignment horizontal="center" vertical="center"/>
    </xf>
    <xf numFmtId="174" fontId="7" fillId="2" borderId="21" xfId="0" applyNumberFormat="1" applyFont="1" applyFill="1" applyBorder="1" applyAlignment="1">
      <alignment horizontal="center" vertical="center"/>
    </xf>
    <xf numFmtId="174" fontId="28" fillId="2" borderId="19" xfId="0" applyNumberFormat="1" applyFont="1" applyFill="1" applyBorder="1" applyAlignment="1" applyProtection="1">
      <alignment horizontal="center" vertical="center"/>
      <protection locked="0"/>
    </xf>
    <xf numFmtId="174" fontId="28" fillId="2" borderId="20" xfId="0" applyNumberFormat="1" applyFont="1" applyFill="1" applyBorder="1" applyAlignment="1" applyProtection="1">
      <alignment horizontal="center" vertical="center"/>
      <protection locked="0"/>
    </xf>
    <xf numFmtId="174" fontId="28" fillId="2" borderId="21" xfId="0" applyNumberFormat="1" applyFont="1" applyFill="1" applyBorder="1" applyAlignment="1" applyProtection="1">
      <alignment horizontal="center" vertical="center"/>
      <protection locked="0"/>
    </xf>
    <xf numFmtId="1" fontId="7" fillId="2" borderId="12" xfId="0" applyNumberFormat="1" applyFont="1" applyFill="1" applyBorder="1" applyAlignment="1" applyProtection="1">
      <alignment horizontal="center" vertical="center" wrapText="1"/>
      <protection locked="0"/>
    </xf>
    <xf numFmtId="0" fontId="7" fillId="2" borderId="9" xfId="0" applyFont="1" applyFill="1" applyBorder="1" applyAlignment="1" applyProtection="1">
      <alignment horizontal="center" vertical="center"/>
      <protection locked="0"/>
    </xf>
    <xf numFmtId="174" fontId="29" fillId="2" borderId="19" xfId="0" applyNumberFormat="1" applyFont="1" applyFill="1" applyBorder="1" applyAlignment="1" applyProtection="1">
      <alignment horizontal="center" vertical="center"/>
      <protection locked="0"/>
    </xf>
    <xf numFmtId="174" fontId="29" fillId="2" borderId="20" xfId="0" applyNumberFormat="1" applyFont="1" applyFill="1" applyBorder="1" applyAlignment="1" applyProtection="1">
      <alignment horizontal="center" vertical="center"/>
      <protection locked="0"/>
    </xf>
    <xf numFmtId="174" fontId="29" fillId="2" borderId="21" xfId="0" applyNumberFormat="1" applyFont="1" applyFill="1" applyBorder="1" applyAlignment="1" applyProtection="1">
      <alignment horizontal="center" vertical="center"/>
      <protection locked="0"/>
    </xf>
    <xf numFmtId="174" fontId="28" fillId="2" borderId="19" xfId="0" applyNumberFormat="1" applyFont="1" applyFill="1" applyBorder="1" applyAlignment="1">
      <alignment horizontal="center" vertical="center"/>
    </xf>
    <xf numFmtId="174" fontId="28" fillId="2" borderId="20" xfId="0" applyNumberFormat="1" applyFont="1" applyFill="1" applyBorder="1" applyAlignment="1">
      <alignment horizontal="center" vertical="center"/>
    </xf>
    <xf numFmtId="174" fontId="28" fillId="2" borderId="21" xfId="0" applyNumberFormat="1" applyFont="1" applyFill="1" applyBorder="1" applyAlignment="1">
      <alignment horizontal="center" vertical="center"/>
    </xf>
    <xf numFmtId="0" fontId="7" fillId="2" borderId="9" xfId="0" applyFont="1" applyFill="1" applyBorder="1" applyAlignment="1" applyProtection="1">
      <alignment horizontal="center"/>
      <protection locked="0"/>
    </xf>
    <xf numFmtId="14" fontId="7" fillId="2" borderId="0" xfId="0" applyNumberFormat="1" applyFont="1" applyFill="1" applyAlignment="1" applyProtection="1">
      <alignment horizontal="left"/>
      <protection locked="0"/>
    </xf>
    <xf numFmtId="1" fontId="9" fillId="2" borderId="12" xfId="0" applyNumberFormat="1" applyFont="1" applyFill="1" applyBorder="1" applyAlignment="1" applyProtection="1">
      <alignment horizontal="center" vertical="center"/>
      <protection locked="0"/>
    </xf>
    <xf numFmtId="0" fontId="7" fillId="2" borderId="0" xfId="0" applyFont="1" applyFill="1" applyAlignment="1">
      <alignment horizontal="center" vertical="center"/>
    </xf>
    <xf numFmtId="0" fontId="36" fillId="2" borderId="0" xfId="0" applyFont="1" applyFill="1" applyAlignment="1" applyProtection="1">
      <alignment horizontal="right"/>
      <protection locked="0"/>
    </xf>
    <xf numFmtId="0" fontId="27" fillId="2" borderId="12" xfId="0" applyFont="1" applyFill="1" applyBorder="1" applyAlignment="1" applyProtection="1">
      <alignment horizontal="left" wrapText="1"/>
      <protection locked="0"/>
    </xf>
    <xf numFmtId="176" fontId="7" fillId="2" borderId="12" xfId="0" applyNumberFormat="1" applyFont="1" applyFill="1" applyBorder="1" applyAlignment="1" applyProtection="1">
      <alignment horizontal="center"/>
      <protection locked="0"/>
    </xf>
    <xf numFmtId="0" fontId="7" fillId="2" borderId="0" xfId="0" applyFont="1" applyFill="1" applyAlignment="1">
      <alignment horizontal="center"/>
    </xf>
    <xf numFmtId="167" fontId="7" fillId="2" borderId="12" xfId="0" applyNumberFormat="1" applyFont="1" applyFill="1" applyBorder="1" applyAlignment="1" applyProtection="1">
      <alignment horizontal="center"/>
      <protection locked="0"/>
    </xf>
    <xf numFmtId="0" fontId="24" fillId="2" borderId="4" xfId="0" applyFont="1" applyFill="1" applyBorder="1" applyAlignment="1">
      <alignment horizontal="center" vertical="center"/>
    </xf>
    <xf numFmtId="0" fontId="24" fillId="2" borderId="9" xfId="0" applyFont="1" applyFill="1" applyBorder="1" applyAlignment="1">
      <alignment horizontal="center" vertical="center"/>
    </xf>
    <xf numFmtId="0" fontId="24" fillId="2" borderId="10" xfId="0" applyFont="1" applyFill="1" applyBorder="1" applyAlignment="1">
      <alignment horizontal="center" vertical="center"/>
    </xf>
    <xf numFmtId="0" fontId="24" fillId="2" borderId="6" xfId="0" applyFont="1" applyFill="1" applyBorder="1" applyAlignment="1">
      <alignment horizontal="center" vertical="center"/>
    </xf>
    <xf numFmtId="0" fontId="24" fillId="2" borderId="12" xfId="0" applyFont="1" applyFill="1" applyBorder="1" applyAlignment="1">
      <alignment horizontal="center" vertical="center"/>
    </xf>
    <xf numFmtId="0" fontId="24" fillId="2" borderId="13" xfId="0" applyFont="1" applyFill="1" applyBorder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24" fillId="2" borderId="12" xfId="0" applyFont="1" applyFill="1" applyBorder="1" applyAlignment="1" applyProtection="1">
      <alignment horizontal="center" vertical="center" wrapText="1"/>
      <protection locked="0"/>
    </xf>
    <xf numFmtId="3" fontId="24" fillId="2" borderId="12" xfId="0" applyNumberFormat="1" applyFont="1" applyFill="1" applyBorder="1" applyAlignment="1" applyProtection="1">
      <alignment horizontal="center" vertical="center" wrapText="1"/>
      <protection locked="0"/>
    </xf>
    <xf numFmtId="49" fontId="23" fillId="2" borderId="19" xfId="0" applyNumberFormat="1" applyFont="1" applyFill="1" applyBorder="1" applyAlignment="1" applyProtection="1">
      <alignment horizontal="center" wrapText="1"/>
      <protection locked="0"/>
    </xf>
    <xf numFmtId="49" fontId="23" fillId="2" borderId="21" xfId="0" applyNumberFormat="1" applyFont="1" applyFill="1" applyBorder="1" applyAlignment="1" applyProtection="1">
      <alignment horizontal="center" wrapText="1"/>
      <protection locked="0"/>
    </xf>
    <xf numFmtId="0" fontId="9" fillId="2" borderId="12" xfId="0" applyFont="1" applyFill="1" applyBorder="1" applyAlignment="1" applyProtection="1">
      <alignment horizontal="center" vertical="center" wrapText="1"/>
      <protection locked="0"/>
    </xf>
    <xf numFmtId="167" fontId="25" fillId="2" borderId="12" xfId="0" applyNumberFormat="1" applyFont="1" applyFill="1" applyBorder="1" applyAlignment="1" applyProtection="1">
      <alignment horizontal="center" vertical="center"/>
      <protection locked="0"/>
    </xf>
    <xf numFmtId="0" fontId="11" fillId="2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23" fillId="2" borderId="19" xfId="0" applyNumberFormat="1" applyFont="1" applyFill="1" applyBorder="1" applyAlignment="1">
      <alignment horizontal="center"/>
    </xf>
    <xf numFmtId="49" fontId="23" fillId="2" borderId="20" xfId="0" applyNumberFormat="1" applyFont="1" applyFill="1" applyBorder="1" applyAlignment="1">
      <alignment horizontal="center"/>
    </xf>
    <xf numFmtId="49" fontId="23" fillId="2" borderId="21" xfId="0" applyNumberFormat="1" applyFont="1" applyFill="1" applyBorder="1" applyAlignment="1">
      <alignment horizontal="center"/>
    </xf>
    <xf numFmtId="3" fontId="11" fillId="2" borderId="0" xfId="0" applyNumberFormat="1" applyFont="1" applyFill="1" applyAlignment="1" applyProtection="1">
      <alignment horizontal="center" vertical="center"/>
      <protection locked="0"/>
    </xf>
    <xf numFmtId="0" fontId="11" fillId="2" borderId="0" xfId="0" applyFont="1" applyFill="1" applyAlignment="1" applyProtection="1">
      <alignment horizontal="center" vertical="center"/>
      <protection locked="0"/>
    </xf>
    <xf numFmtId="0" fontId="8" fillId="2" borderId="4" xfId="0" applyFont="1" applyFill="1" applyBorder="1" applyAlignment="1" applyProtection="1">
      <alignment horizontal="left" vertical="center" wrapText="1"/>
      <protection locked="0"/>
    </xf>
    <xf numFmtId="0" fontId="8" fillId="2" borderId="9" xfId="0" applyFont="1" applyFill="1" applyBorder="1" applyAlignment="1" applyProtection="1">
      <alignment horizontal="left" vertical="center" wrapText="1"/>
      <protection locked="0"/>
    </xf>
    <xf numFmtId="0" fontId="8" fillId="2" borderId="10" xfId="0" applyFont="1" applyFill="1" applyBorder="1" applyAlignment="1" applyProtection="1">
      <alignment horizontal="left" vertical="center" wrapText="1"/>
      <protection locked="0"/>
    </xf>
    <xf numFmtId="0" fontId="8" fillId="2" borderId="6" xfId="0" applyFont="1" applyFill="1" applyBorder="1" applyAlignment="1" applyProtection="1">
      <alignment horizontal="left" vertical="center" wrapText="1"/>
      <protection locked="0"/>
    </xf>
    <xf numFmtId="0" fontId="8" fillId="2" borderId="12" xfId="0" applyFont="1" applyFill="1" applyBorder="1" applyAlignment="1" applyProtection="1">
      <alignment horizontal="left" vertical="center" wrapText="1"/>
      <protection locked="0"/>
    </xf>
    <xf numFmtId="0" fontId="8" fillId="2" borderId="13" xfId="0" applyFont="1" applyFill="1" applyBorder="1" applyAlignment="1" applyProtection="1">
      <alignment horizontal="left" vertical="center" wrapText="1"/>
      <protection locked="0"/>
    </xf>
    <xf numFmtId="49" fontId="23" fillId="2" borderId="19" xfId="0" applyNumberFormat="1" applyFont="1" applyFill="1" applyBorder="1" applyAlignment="1">
      <alignment horizontal="right"/>
    </xf>
    <xf numFmtId="49" fontId="23" fillId="2" borderId="20" xfId="0" applyNumberFormat="1" applyFont="1" applyFill="1" applyBorder="1" applyAlignment="1">
      <alignment horizontal="right"/>
    </xf>
    <xf numFmtId="49" fontId="23" fillId="2" borderId="21" xfId="0" applyNumberFormat="1" applyFont="1" applyFill="1" applyBorder="1" applyAlignment="1">
      <alignment horizontal="right"/>
    </xf>
    <xf numFmtId="49" fontId="23" fillId="2" borderId="19" xfId="0" applyNumberFormat="1" applyFont="1" applyFill="1" applyBorder="1" applyAlignment="1" applyProtection="1">
      <alignment horizontal="center" vertical="center" wrapText="1"/>
      <protection locked="0"/>
    </xf>
    <xf numFmtId="49" fontId="23" fillId="2" borderId="20" xfId="0" applyNumberFormat="1" applyFont="1" applyFill="1" applyBorder="1" applyAlignment="1" applyProtection="1">
      <alignment horizontal="center" vertical="center" wrapText="1"/>
      <protection locked="0"/>
    </xf>
    <xf numFmtId="49" fontId="23" fillId="2" borderId="21" xfId="0" applyNumberFormat="1" applyFont="1" applyFill="1" applyBorder="1" applyAlignment="1" applyProtection="1">
      <alignment horizontal="center" vertical="center" wrapText="1"/>
      <protection locked="0"/>
    </xf>
    <xf numFmtId="174" fontId="7" fillId="2" borderId="11" xfId="0" applyNumberFormat="1" applyFont="1" applyFill="1" applyBorder="1" applyAlignment="1" applyProtection="1">
      <alignment horizontal="center" vertical="center"/>
      <protection locked="0"/>
    </xf>
    <xf numFmtId="0" fontId="9" fillId="2" borderId="4" xfId="0" applyFont="1" applyFill="1" applyBorder="1" applyAlignment="1" applyProtection="1">
      <alignment horizontal="center" vertical="center" wrapText="1"/>
      <protection locked="0"/>
    </xf>
    <xf numFmtId="0" fontId="9" fillId="2" borderId="9" xfId="0" applyFont="1" applyFill="1" applyBorder="1" applyAlignment="1" applyProtection="1">
      <alignment horizontal="center" vertical="center" wrapText="1"/>
      <protection locked="0"/>
    </xf>
    <xf numFmtId="0" fontId="9" fillId="2" borderId="6" xfId="0" applyFont="1" applyFill="1" applyBorder="1" applyAlignment="1" applyProtection="1">
      <alignment horizontal="center" vertical="center" wrapText="1"/>
      <protection locked="0"/>
    </xf>
    <xf numFmtId="174" fontId="7" fillId="2" borderId="0" xfId="0" applyNumberFormat="1" applyFont="1" applyFill="1" applyAlignment="1" applyProtection="1">
      <alignment horizontal="center" vertical="center"/>
      <protection locked="0"/>
    </xf>
    <xf numFmtId="0" fontId="7" fillId="2" borderId="20" xfId="0" applyFont="1" applyFill="1" applyBorder="1" applyAlignment="1" applyProtection="1">
      <alignment horizontal="center"/>
      <protection locked="0"/>
    </xf>
    <xf numFmtId="174" fontId="9" fillId="0" borderId="11" xfId="0" applyNumberFormat="1" applyFont="1" applyBorder="1" applyAlignment="1" applyProtection="1">
      <alignment vertical="center"/>
      <protection locked="0"/>
    </xf>
    <xf numFmtId="0" fontId="11" fillId="2" borderId="11" xfId="0" applyFont="1" applyFill="1" applyBorder="1" applyAlignment="1">
      <alignment horizontal="left" vertical="center" wrapText="1"/>
    </xf>
    <xf numFmtId="1" fontId="9" fillId="2" borderId="19" xfId="0" applyNumberFormat="1" applyFont="1" applyFill="1" applyBorder="1" applyAlignment="1" applyProtection="1">
      <alignment horizontal="center" vertical="center" wrapText="1"/>
      <protection locked="0"/>
    </xf>
    <xf numFmtId="1" fontId="9" fillId="2" borderId="20" xfId="0" applyNumberFormat="1" applyFont="1" applyFill="1" applyBorder="1" applyAlignment="1" applyProtection="1">
      <alignment horizontal="center" vertical="center" wrapText="1"/>
      <protection locked="0"/>
    </xf>
    <xf numFmtId="1" fontId="9" fillId="2" borderId="21" xfId="0" applyNumberFormat="1" applyFont="1" applyFill="1" applyBorder="1" applyAlignment="1" applyProtection="1">
      <alignment horizontal="center" vertical="center" wrapText="1"/>
      <protection locked="0"/>
    </xf>
    <xf numFmtId="174" fontId="9" fillId="2" borderId="19" xfId="0" applyNumberFormat="1" applyFont="1" applyFill="1" applyBorder="1" applyAlignment="1" applyProtection="1">
      <alignment horizontal="center" vertical="center"/>
      <protection locked="0"/>
    </xf>
    <xf numFmtId="174" fontId="9" fillId="2" borderId="20" xfId="0" applyNumberFormat="1" applyFont="1" applyFill="1" applyBorder="1" applyAlignment="1" applyProtection="1">
      <alignment horizontal="center" vertical="center"/>
      <protection locked="0"/>
    </xf>
    <xf numFmtId="174" fontId="9" fillId="2" borderId="21" xfId="0" applyNumberFormat="1" applyFont="1" applyFill="1" applyBorder="1" applyAlignment="1" applyProtection="1">
      <alignment horizontal="center" vertical="center"/>
      <protection locked="0"/>
    </xf>
    <xf numFmtId="167" fontId="7" fillId="2" borderId="0" xfId="0" applyNumberFormat="1" applyFont="1" applyFill="1" applyAlignment="1" applyProtection="1">
      <alignment horizontal="left" vertical="center" wrapText="1"/>
      <protection locked="0"/>
    </xf>
    <xf numFmtId="164" fontId="19" fillId="2" borderId="1" xfId="0" applyNumberFormat="1" applyFont="1" applyFill="1" applyBorder="1" applyAlignment="1">
      <alignment horizontal="center" vertical="center" wrapText="1"/>
    </xf>
    <xf numFmtId="164" fontId="19" fillId="2" borderId="2" xfId="0" applyNumberFormat="1" applyFont="1" applyFill="1" applyBorder="1" applyAlignment="1">
      <alignment horizontal="center" vertical="center" wrapText="1"/>
    </xf>
    <xf numFmtId="164" fontId="19" fillId="2" borderId="15" xfId="0" applyNumberFormat="1" applyFont="1" applyFill="1" applyBorder="1" applyAlignment="1">
      <alignment horizontal="center" vertical="center" wrapText="1"/>
    </xf>
    <xf numFmtId="164" fontId="19" fillId="2" borderId="16" xfId="0" applyNumberFormat="1" applyFont="1" applyFill="1" applyBorder="1" applyAlignment="1">
      <alignment horizontal="center" vertical="center" wrapText="1"/>
    </xf>
    <xf numFmtId="164" fontId="10" fillId="2" borderId="1" xfId="0" applyNumberFormat="1" applyFont="1" applyFill="1" applyBorder="1" applyAlignment="1">
      <alignment horizontal="center" vertical="center" wrapText="1"/>
    </xf>
    <xf numFmtId="164" fontId="10" fillId="2" borderId="2" xfId="0" applyNumberFormat="1" applyFont="1" applyFill="1" applyBorder="1" applyAlignment="1">
      <alignment horizontal="center" vertical="center" wrapText="1"/>
    </xf>
    <xf numFmtId="164" fontId="10" fillId="2" borderId="18" xfId="0" applyNumberFormat="1" applyFont="1" applyFill="1" applyBorder="1" applyAlignment="1">
      <alignment horizontal="center" vertical="center" wrapText="1"/>
    </xf>
    <xf numFmtId="164" fontId="10" fillId="2" borderId="15" xfId="0" applyNumberFormat="1" applyFont="1" applyFill="1" applyBorder="1" applyAlignment="1">
      <alignment horizontal="center" vertical="center" wrapText="1"/>
    </xf>
    <xf numFmtId="164" fontId="10" fillId="2" borderId="16" xfId="0" applyNumberFormat="1" applyFont="1" applyFill="1" applyBorder="1" applyAlignment="1">
      <alignment horizontal="center" vertical="center" wrapText="1"/>
    </xf>
    <xf numFmtId="164" fontId="10" fillId="2" borderId="17" xfId="0" applyNumberFormat="1" applyFont="1" applyFill="1" applyBorder="1" applyAlignment="1">
      <alignment horizontal="center" vertical="center" wrapText="1"/>
    </xf>
    <xf numFmtId="0" fontId="27" fillId="2" borderId="12" xfId="0" applyFont="1" applyFill="1" applyBorder="1" applyAlignment="1" applyProtection="1">
      <alignment horizontal="center" vertical="center"/>
      <protection locked="0"/>
    </xf>
    <xf numFmtId="174" fontId="9" fillId="2" borderId="19" xfId="0" applyNumberFormat="1" applyFont="1" applyFill="1" applyBorder="1" applyAlignment="1" applyProtection="1">
      <alignment horizontal="center" vertical="center" wrapText="1"/>
      <protection locked="0"/>
    </xf>
    <xf numFmtId="174" fontId="9" fillId="2" borderId="20" xfId="0" applyNumberFormat="1" applyFont="1" applyFill="1" applyBorder="1" applyAlignment="1" applyProtection="1">
      <alignment horizontal="center" vertical="center" wrapText="1"/>
      <protection locked="0"/>
    </xf>
    <xf numFmtId="174" fontId="9" fillId="2" borderId="21" xfId="0" applyNumberFormat="1" applyFont="1" applyFill="1" applyBorder="1" applyAlignment="1" applyProtection="1">
      <alignment horizontal="center" vertical="center" wrapText="1"/>
      <protection locked="0"/>
    </xf>
    <xf numFmtId="178" fontId="22" fillId="2" borderId="19" xfId="0" applyNumberFormat="1" applyFont="1" applyFill="1" applyBorder="1" applyAlignment="1">
      <alignment horizontal="center" vertical="center"/>
    </xf>
    <xf numFmtId="178" fontId="22" fillId="2" borderId="20" xfId="0" applyNumberFormat="1" applyFont="1" applyFill="1" applyBorder="1" applyAlignment="1">
      <alignment horizontal="center" vertical="center"/>
    </xf>
    <xf numFmtId="178" fontId="22" fillId="2" borderId="21" xfId="0" applyNumberFormat="1" applyFont="1" applyFill="1" applyBorder="1" applyAlignment="1">
      <alignment horizontal="center" vertical="center"/>
    </xf>
    <xf numFmtId="167" fontId="9" fillId="2" borderId="11" xfId="0" applyNumberFormat="1" applyFont="1" applyFill="1" applyBorder="1" applyAlignment="1" applyProtection="1">
      <alignment vertical="center" wrapText="1"/>
      <protection locked="0"/>
    </xf>
    <xf numFmtId="0" fontId="9" fillId="2" borderId="19" xfId="0" applyFont="1" applyFill="1" applyBorder="1" applyAlignment="1">
      <alignment horizontal="center" vertical="center" wrapText="1"/>
    </xf>
    <xf numFmtId="0" fontId="9" fillId="2" borderId="20" xfId="0" applyFont="1" applyFill="1" applyBorder="1" applyAlignment="1">
      <alignment horizontal="center" vertical="center" wrapText="1"/>
    </xf>
    <xf numFmtId="0" fontId="9" fillId="2" borderId="21" xfId="0" applyFont="1" applyFill="1" applyBorder="1" applyAlignment="1">
      <alignment horizontal="center" vertical="center" wrapText="1"/>
    </xf>
    <xf numFmtId="0" fontId="7" fillId="2" borderId="11" xfId="0" applyFont="1" applyFill="1" applyBorder="1" applyAlignment="1" applyProtection="1">
      <alignment horizontal="center" vertical="center" wrapText="1"/>
      <protection locked="0"/>
    </xf>
    <xf numFmtId="168" fontId="7" fillId="2" borderId="12" xfId="0" applyNumberFormat="1" applyFont="1" applyFill="1" applyBorder="1" applyAlignment="1" applyProtection="1">
      <alignment horizontal="left"/>
      <protection locked="0"/>
    </xf>
    <xf numFmtId="0" fontId="9" fillId="2" borderId="19" xfId="0" applyFont="1" applyFill="1" applyBorder="1" applyAlignment="1">
      <alignment horizontal="center" vertical="center"/>
    </xf>
    <xf numFmtId="0" fontId="9" fillId="2" borderId="20" xfId="0" applyFont="1" applyFill="1" applyBorder="1" applyAlignment="1">
      <alignment horizontal="center" vertical="center"/>
    </xf>
    <xf numFmtId="0" fontId="9" fillId="2" borderId="21" xfId="0" applyFont="1" applyFill="1" applyBorder="1" applyAlignment="1">
      <alignment horizontal="center" vertical="center"/>
    </xf>
    <xf numFmtId="0" fontId="9" fillId="2" borderId="4" xfId="0" applyFont="1" applyFill="1" applyBorder="1" applyAlignment="1">
      <alignment horizontal="center" vertical="center" wrapText="1"/>
    </xf>
    <xf numFmtId="0" fontId="9" fillId="2" borderId="9" xfId="0" applyFont="1" applyFill="1" applyBorder="1" applyAlignment="1">
      <alignment horizontal="center" vertical="center" wrapText="1"/>
    </xf>
    <xf numFmtId="0" fontId="9" fillId="2" borderId="10" xfId="0" applyFont="1" applyFill="1" applyBorder="1" applyAlignment="1">
      <alignment horizontal="center" vertical="center" wrapText="1"/>
    </xf>
    <xf numFmtId="0" fontId="7" fillId="0" borderId="11" xfId="0" applyFont="1" applyBorder="1" applyAlignment="1" applyProtection="1">
      <alignment horizontal="center"/>
      <protection locked="0"/>
    </xf>
    <xf numFmtId="0" fontId="7" fillId="2" borderId="11" xfId="0" applyFont="1" applyFill="1" applyBorder="1" applyAlignment="1" applyProtection="1">
      <alignment horizontal="center" vertical="center"/>
      <protection locked="0"/>
    </xf>
    <xf numFmtId="0" fontId="7" fillId="2" borderId="11" xfId="0" applyFont="1" applyFill="1" applyBorder="1" applyAlignment="1" applyProtection="1">
      <alignment horizontal="center" wrapText="1"/>
      <protection locked="0"/>
    </xf>
    <xf numFmtId="0" fontId="7" fillId="0" borderId="11" xfId="0" applyFont="1" applyBorder="1" applyAlignment="1" applyProtection="1">
      <alignment horizontal="center" vertical="center"/>
      <protection locked="0"/>
    </xf>
    <xf numFmtId="0" fontId="27" fillId="2" borderId="6" xfId="0" applyFont="1" applyFill="1" applyBorder="1" applyAlignment="1" applyProtection="1">
      <alignment horizontal="center"/>
      <protection locked="0"/>
    </xf>
    <xf numFmtId="0" fontId="27" fillId="2" borderId="12" xfId="0" applyFont="1" applyFill="1" applyBorder="1" applyAlignment="1" applyProtection="1">
      <alignment horizontal="center"/>
      <protection locked="0"/>
    </xf>
    <xf numFmtId="0" fontId="27" fillId="2" borderId="13" xfId="0" applyFont="1" applyFill="1" applyBorder="1" applyAlignment="1" applyProtection="1">
      <alignment horizontal="center"/>
      <protection locked="0"/>
    </xf>
    <xf numFmtId="0" fontId="31" fillId="2" borderId="12" xfId="0" applyFont="1" applyFill="1" applyBorder="1" applyAlignment="1" applyProtection="1">
      <alignment horizontal="center"/>
      <protection locked="0"/>
    </xf>
    <xf numFmtId="0" fontId="27" fillId="2" borderId="0" xfId="0" applyFont="1" applyFill="1" applyAlignment="1" applyProtection="1">
      <alignment horizontal="center"/>
      <protection locked="0"/>
    </xf>
    <xf numFmtId="0" fontId="9" fillId="2" borderId="12" xfId="0" applyFont="1" applyFill="1" applyBorder="1" applyAlignment="1" applyProtection="1">
      <alignment horizontal="center" vertical="center"/>
      <protection locked="0"/>
    </xf>
    <xf numFmtId="0" fontId="27" fillId="2" borderId="20" xfId="0" applyFont="1" applyFill="1" applyBorder="1" applyAlignment="1" applyProtection="1">
      <alignment horizontal="center"/>
      <protection locked="0"/>
    </xf>
    <xf numFmtId="175" fontId="31" fillId="2" borderId="19" xfId="0" applyNumberFormat="1" applyFont="1" applyFill="1" applyBorder="1" applyAlignment="1" applyProtection="1">
      <alignment horizontal="center" vertical="center" wrapText="1"/>
      <protection locked="0"/>
    </xf>
    <xf numFmtId="175" fontId="31" fillId="2" borderId="20" xfId="0" applyNumberFormat="1" applyFont="1" applyFill="1" applyBorder="1" applyAlignment="1" applyProtection="1">
      <alignment horizontal="center" vertical="center" wrapText="1"/>
      <protection locked="0"/>
    </xf>
    <xf numFmtId="175" fontId="31" fillId="2" borderId="21" xfId="0" applyNumberFormat="1" applyFont="1" applyFill="1" applyBorder="1" applyAlignment="1" applyProtection="1">
      <alignment horizontal="center" vertical="center" wrapText="1"/>
      <protection locked="0"/>
    </xf>
    <xf numFmtId="0" fontId="7" fillId="2" borderId="12" xfId="0" applyFont="1" applyFill="1" applyBorder="1" applyAlignment="1" applyProtection="1">
      <alignment horizontal="center"/>
      <protection locked="0"/>
    </xf>
    <xf numFmtId="0" fontId="32" fillId="0" borderId="12" xfId="0" applyFont="1" applyBorder="1" applyAlignment="1">
      <alignment horizontal="left" vertical="center" wrapText="1"/>
    </xf>
    <xf numFmtId="0" fontId="27" fillId="2" borderId="0" xfId="0" applyFont="1" applyFill="1" applyAlignment="1" applyProtection="1">
      <alignment horizontal="left" vertical="center" wrapText="1"/>
      <protection locked="0"/>
    </xf>
    <xf numFmtId="0" fontId="27" fillId="2" borderId="0" xfId="0" applyFont="1" applyFill="1" applyAlignment="1" applyProtection="1">
      <alignment horizontal="left"/>
      <protection locked="0"/>
    </xf>
    <xf numFmtId="0" fontId="7" fillId="2" borderId="0" xfId="0" applyFont="1" applyFill="1" applyAlignment="1" applyProtection="1">
      <alignment horizontal="left" vertical="top"/>
      <protection locked="0"/>
    </xf>
    <xf numFmtId="0" fontId="7" fillId="2" borderId="0" xfId="0" applyFont="1" applyFill="1" applyAlignment="1" applyProtection="1">
      <alignment horizontal="left"/>
      <protection locked="0"/>
    </xf>
    <xf numFmtId="0" fontId="7" fillId="2" borderId="0" xfId="0" applyFont="1" applyFill="1" applyAlignment="1" applyProtection="1">
      <alignment horizontal="left" vertical="center"/>
      <protection locked="0"/>
    </xf>
    <xf numFmtId="0" fontId="7" fillId="2" borderId="5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31" fillId="2" borderId="9" xfId="0" applyFont="1" applyFill="1" applyBorder="1" applyAlignment="1" applyProtection="1">
      <alignment horizontal="center" vertical="center"/>
      <protection locked="0"/>
    </xf>
    <xf numFmtId="0" fontId="7" fillId="2" borderId="11" xfId="0" applyFont="1" applyFill="1" applyBorder="1" applyAlignment="1">
      <alignment horizontal="left" vertical="center" wrapText="1"/>
    </xf>
    <xf numFmtId="0" fontId="27" fillId="2" borderId="0" xfId="0" applyFont="1" applyFill="1" applyAlignment="1">
      <alignment wrapText="1"/>
    </xf>
    <xf numFmtId="0" fontId="30" fillId="2" borderId="0" xfId="0" applyFont="1" applyFill="1" applyAlignment="1" applyProtection="1">
      <alignment horizontal="left"/>
      <protection locked="0"/>
    </xf>
    <xf numFmtId="0" fontId="9" fillId="0" borderId="0" xfId="0" applyFont="1" applyAlignment="1" applyProtection="1">
      <alignment horizontal="center"/>
      <protection locked="0"/>
    </xf>
    <xf numFmtId="0" fontId="9" fillId="0" borderId="11" xfId="0" applyFont="1" applyBorder="1" applyAlignment="1" applyProtection="1">
      <alignment horizontal="center" vertical="center"/>
      <protection locked="0"/>
    </xf>
    <xf numFmtId="0" fontId="7" fillId="2" borderId="0" xfId="0" applyFont="1" applyFill="1" applyAlignment="1">
      <alignment wrapText="1"/>
    </xf>
    <xf numFmtId="0" fontId="7" fillId="2" borderId="0" xfId="0" applyFont="1" applyFill="1" applyAlignment="1" applyProtection="1">
      <alignment horizontal="left" wrapText="1"/>
      <protection locked="0"/>
    </xf>
    <xf numFmtId="0" fontId="7" fillId="2" borderId="0" xfId="0" applyFont="1" applyFill="1" applyAlignment="1">
      <alignment horizontal="left" vertical="top" wrapText="1"/>
    </xf>
    <xf numFmtId="0" fontId="7" fillId="2" borderId="19" xfId="0" applyFont="1" applyFill="1" applyBorder="1" applyAlignment="1">
      <alignment horizontal="left" vertical="center" wrapText="1"/>
    </xf>
    <xf numFmtId="0" fontId="7" fillId="2" borderId="20" xfId="0" applyFont="1" applyFill="1" applyBorder="1" applyAlignment="1">
      <alignment horizontal="left" vertical="center" wrapText="1"/>
    </xf>
    <xf numFmtId="0" fontId="7" fillId="2" borderId="21" xfId="0" applyFont="1" applyFill="1" applyBorder="1" applyAlignment="1">
      <alignment horizontal="left" vertical="center" wrapText="1"/>
    </xf>
    <xf numFmtId="0" fontId="9" fillId="2" borderId="19" xfId="0" applyFont="1" applyFill="1" applyBorder="1" applyAlignment="1" applyProtection="1">
      <alignment horizontal="center" vertical="center"/>
      <protection locked="0"/>
    </xf>
    <xf numFmtId="0" fontId="9" fillId="2" borderId="20" xfId="0" applyFont="1" applyFill="1" applyBorder="1" applyAlignment="1" applyProtection="1">
      <alignment horizontal="center" vertical="center"/>
      <protection locked="0"/>
    </xf>
    <xf numFmtId="0" fontId="9" fillId="2" borderId="21" xfId="0" applyFont="1" applyFill="1" applyBorder="1" applyAlignment="1" applyProtection="1">
      <alignment horizontal="center" vertical="center"/>
      <protection locked="0"/>
    </xf>
    <xf numFmtId="49" fontId="9" fillId="2" borderId="12" xfId="0" applyNumberFormat="1" applyFont="1" applyFill="1" applyBorder="1" applyAlignment="1" applyProtection="1">
      <alignment horizontal="center" vertical="center" wrapText="1"/>
      <protection locked="0"/>
    </xf>
    <xf numFmtId="0" fontId="13" fillId="2" borderId="0" xfId="0" applyFont="1" applyFill="1" applyAlignment="1">
      <alignment horizontal="center" vertical="center" textRotation="90"/>
    </xf>
    <xf numFmtId="0" fontId="27" fillId="2" borderId="0" xfId="0" applyFont="1" applyFill="1" applyAlignment="1" applyProtection="1">
      <alignment horizontal="left" vertical="center"/>
      <protection locked="0"/>
    </xf>
    <xf numFmtId="0" fontId="37" fillId="2" borderId="0" xfId="0" applyFont="1" applyFill="1" applyAlignment="1" applyProtection="1">
      <alignment horizontal="left" wrapText="1"/>
      <protection locked="0"/>
    </xf>
    <xf numFmtId="0" fontId="31" fillId="2" borderId="19" xfId="0" applyFont="1" applyFill="1" applyBorder="1" applyAlignment="1" applyProtection="1">
      <alignment horizontal="center" vertical="center"/>
      <protection locked="0"/>
    </xf>
    <xf numFmtId="0" fontId="31" fillId="2" borderId="20" xfId="0" applyFont="1" applyFill="1" applyBorder="1" applyAlignment="1" applyProtection="1">
      <alignment horizontal="center" vertical="center"/>
      <protection locked="0"/>
    </xf>
    <xf numFmtId="0" fontId="31" fillId="2" borderId="21" xfId="0" applyFont="1" applyFill="1" applyBorder="1" applyAlignment="1" applyProtection="1">
      <alignment horizontal="center" vertical="center"/>
      <protection locked="0"/>
    </xf>
    <xf numFmtId="0" fontId="35" fillId="2" borderId="4" xfId="0" applyFont="1" applyFill="1" applyBorder="1" applyAlignment="1">
      <alignment horizontal="center" vertical="center" wrapText="1"/>
    </xf>
    <xf numFmtId="0" fontId="35" fillId="2" borderId="9" xfId="0" applyFont="1" applyFill="1" applyBorder="1" applyAlignment="1">
      <alignment horizontal="center" vertical="center" wrapText="1"/>
    </xf>
    <xf numFmtId="0" fontId="35" fillId="2" borderId="10" xfId="0" applyFont="1" applyFill="1" applyBorder="1" applyAlignment="1">
      <alignment horizontal="center" vertical="center" wrapText="1"/>
    </xf>
    <xf numFmtId="0" fontId="35" fillId="2" borderId="6" xfId="0" applyFont="1" applyFill="1" applyBorder="1" applyAlignment="1">
      <alignment horizontal="center" vertical="center" wrapText="1"/>
    </xf>
    <xf numFmtId="0" fontId="35" fillId="2" borderId="12" xfId="0" applyFont="1" applyFill="1" applyBorder="1" applyAlignment="1">
      <alignment horizontal="center" vertical="center" wrapText="1"/>
    </xf>
    <xf numFmtId="0" fontId="35" fillId="2" borderId="13" xfId="0" applyFont="1" applyFill="1" applyBorder="1" applyAlignment="1">
      <alignment horizontal="center" vertical="center" wrapText="1"/>
    </xf>
    <xf numFmtId="164" fontId="19" fillId="2" borderId="18" xfId="0" applyNumberFormat="1" applyFont="1" applyFill="1" applyBorder="1" applyAlignment="1">
      <alignment horizontal="center" vertical="center" wrapText="1"/>
    </xf>
    <xf numFmtId="164" fontId="19" fillId="2" borderId="17" xfId="0" applyNumberFormat="1" applyFont="1" applyFill="1" applyBorder="1" applyAlignment="1">
      <alignment horizontal="center" vertical="center" wrapText="1"/>
    </xf>
    <xf numFmtId="0" fontId="7" fillId="2" borderId="0" xfId="0" applyFont="1" applyFill="1" applyAlignment="1" applyProtection="1">
      <alignment horizontal="left" vertical="center" wrapText="1"/>
      <protection locked="0"/>
    </xf>
    <xf numFmtId="0" fontId="27" fillId="2" borderId="0" xfId="0" applyFont="1" applyFill="1" applyAlignment="1" applyProtection="1">
      <alignment horizontal="left" vertical="top"/>
      <protection locked="0"/>
    </xf>
    <xf numFmtId="0" fontId="9" fillId="2" borderId="0" xfId="0" applyFont="1" applyFill="1" applyAlignment="1">
      <alignment horizontal="center" vertical="top" wrapText="1"/>
    </xf>
    <xf numFmtId="0" fontId="9" fillId="2" borderId="0" xfId="0" applyFont="1" applyFill="1" applyAlignment="1">
      <alignment horizontal="left" wrapText="1"/>
    </xf>
    <xf numFmtId="0" fontId="7" fillId="2" borderId="4" xfId="0" applyFont="1" applyFill="1" applyBorder="1" applyAlignment="1">
      <alignment horizontal="center" vertical="center" wrapText="1"/>
    </xf>
    <xf numFmtId="0" fontId="7" fillId="2" borderId="9" xfId="0" applyFont="1" applyFill="1" applyBorder="1" applyAlignment="1">
      <alignment horizontal="center" vertical="center" wrapText="1"/>
    </xf>
    <xf numFmtId="0" fontId="7" fillId="2" borderId="10" xfId="0" applyFont="1" applyFill="1" applyBorder="1" applyAlignment="1">
      <alignment horizontal="center" vertical="center" wrapText="1"/>
    </xf>
    <xf numFmtId="0" fontId="9" fillId="2" borderId="0" xfId="0" applyFont="1" applyFill="1" applyAlignment="1" applyProtection="1">
      <alignment horizontal="center" vertical="center"/>
      <protection locked="0"/>
    </xf>
    <xf numFmtId="174" fontId="9" fillId="0" borderId="11" xfId="0" applyNumberFormat="1" applyFont="1" applyBorder="1" applyAlignment="1" applyProtection="1">
      <alignment horizontal="center" vertical="center"/>
      <protection locked="0"/>
    </xf>
    <xf numFmtId="0" fontId="31" fillId="2" borderId="0" xfId="0" applyFont="1" applyFill="1" applyAlignment="1">
      <alignment horizontal="left" vertical="center" wrapText="1"/>
    </xf>
    <xf numFmtId="0" fontId="31" fillId="2" borderId="0" xfId="0" applyFont="1" applyFill="1" applyAlignment="1">
      <alignment horizontal="center" vertical="center" wrapText="1"/>
    </xf>
    <xf numFmtId="0" fontId="9" fillId="2" borderId="4" xfId="0" applyFont="1" applyFill="1" applyBorder="1" applyAlignment="1" applyProtection="1">
      <alignment horizontal="center" vertical="center"/>
      <protection locked="0"/>
    </xf>
    <xf numFmtId="0" fontId="9" fillId="2" borderId="9" xfId="0" applyFont="1" applyFill="1" applyBorder="1" applyAlignment="1" applyProtection="1">
      <alignment horizontal="center" vertical="center"/>
      <protection locked="0"/>
    </xf>
    <xf numFmtId="0" fontId="9" fillId="2" borderId="10" xfId="0" applyFont="1" applyFill="1" applyBorder="1" applyAlignment="1" applyProtection="1">
      <alignment horizontal="center" vertical="center"/>
      <protection locked="0"/>
    </xf>
    <xf numFmtId="0" fontId="31" fillId="2" borderId="4" xfId="0" applyFont="1" applyFill="1" applyBorder="1" applyAlignment="1" applyProtection="1">
      <alignment horizontal="center" vertical="center"/>
      <protection locked="0"/>
    </xf>
    <xf numFmtId="0" fontId="31" fillId="2" borderId="10" xfId="0" applyFont="1" applyFill="1" applyBorder="1" applyAlignment="1" applyProtection="1">
      <alignment horizontal="center" vertical="center"/>
      <protection locked="0"/>
    </xf>
    <xf numFmtId="0" fontId="9" fillId="2" borderId="11" xfId="0" applyFont="1" applyFill="1" applyBorder="1" applyAlignment="1" applyProtection="1">
      <alignment vertical="center"/>
      <protection locked="0"/>
    </xf>
    <xf numFmtId="174" fontId="9" fillId="2" borderId="11" xfId="0" applyNumberFormat="1" applyFont="1" applyFill="1" applyBorder="1" applyAlignment="1" applyProtection="1">
      <alignment vertical="center" wrapText="1"/>
      <protection locked="0"/>
    </xf>
    <xf numFmtId="0" fontId="7" fillId="2" borderId="0" xfId="0" applyFont="1" applyFill="1" applyProtection="1">
      <protection locked="0"/>
    </xf>
    <xf numFmtId="0" fontId="27" fillId="2" borderId="0" xfId="0" applyFont="1" applyFill="1" applyProtection="1">
      <protection locked="0"/>
    </xf>
    <xf numFmtId="0" fontId="31" fillId="2" borderId="4" xfId="0" applyFont="1" applyFill="1" applyBorder="1" applyAlignment="1" applyProtection="1">
      <alignment horizontal="center" vertical="center" wrapText="1"/>
      <protection locked="0"/>
    </xf>
    <xf numFmtId="0" fontId="31" fillId="2" borderId="9" xfId="0" applyFont="1" applyFill="1" applyBorder="1" applyAlignment="1" applyProtection="1">
      <alignment horizontal="center" vertical="center" wrapText="1"/>
      <protection locked="0"/>
    </xf>
    <xf numFmtId="0" fontId="31" fillId="2" borderId="10" xfId="0" applyFont="1" applyFill="1" applyBorder="1" applyAlignment="1" applyProtection="1">
      <alignment horizontal="center" vertical="center" wrapText="1"/>
      <protection locked="0"/>
    </xf>
    <xf numFmtId="0" fontId="16" fillId="2" borderId="33" xfId="0" applyFont="1" applyFill="1" applyBorder="1" applyAlignment="1">
      <alignment horizontal="left"/>
    </xf>
    <xf numFmtId="0" fontId="16" fillId="2" borderId="0" xfId="0" applyFont="1" applyFill="1" applyAlignment="1">
      <alignment horizontal="left"/>
    </xf>
    <xf numFmtId="174" fontId="16" fillId="2" borderId="12" xfId="0" applyNumberFormat="1" applyFont="1" applyFill="1" applyBorder="1" applyAlignment="1">
      <alignment horizontal="right" vertical="center"/>
    </xf>
    <xf numFmtId="0" fontId="15" fillId="2" borderId="34" xfId="0" applyFont="1" applyFill="1" applyBorder="1" applyAlignment="1">
      <alignment horizontal="left"/>
    </xf>
    <xf numFmtId="0" fontId="15" fillId="2" borderId="33" xfId="0" applyFont="1" applyFill="1" applyBorder="1" applyAlignment="1">
      <alignment horizontal="left"/>
    </xf>
    <xf numFmtId="0" fontId="16" fillId="2" borderId="5" xfId="0" applyFont="1" applyFill="1" applyBorder="1" applyAlignment="1">
      <alignment horizontal="right"/>
    </xf>
    <xf numFmtId="0" fontId="16" fillId="2" borderId="8" xfId="0" applyFont="1" applyFill="1" applyBorder="1" applyAlignment="1">
      <alignment horizontal="right"/>
    </xf>
    <xf numFmtId="0" fontId="16" fillId="2" borderId="12" xfId="0" applyFont="1" applyFill="1" applyBorder="1" applyAlignment="1">
      <alignment horizontal="center"/>
    </xf>
    <xf numFmtId="174" fontId="16" fillId="2" borderId="12" xfId="0" applyNumberFormat="1" applyFont="1" applyFill="1" applyBorder="1" applyAlignment="1">
      <alignment horizontal="center" vertical="center"/>
    </xf>
    <xf numFmtId="0" fontId="15" fillId="2" borderId="0" xfId="0" applyFont="1" applyFill="1" applyAlignment="1">
      <alignment horizontal="center"/>
    </xf>
    <xf numFmtId="0" fontId="11" fillId="2" borderId="20" xfId="0" applyFont="1" applyFill="1" applyBorder="1" applyAlignment="1" applyProtection="1">
      <alignment horizontal="center" vertical="center" wrapText="1"/>
      <protection locked="0"/>
    </xf>
    <xf numFmtId="174" fontId="16" fillId="2" borderId="12" xfId="0" applyNumberFormat="1" applyFont="1" applyFill="1" applyBorder="1" applyAlignment="1" applyProtection="1">
      <alignment horizontal="center" wrapText="1"/>
      <protection locked="0"/>
    </xf>
    <xf numFmtId="0" fontId="15" fillId="2" borderId="54" xfId="0" applyFont="1" applyFill="1" applyBorder="1" applyAlignment="1">
      <alignment horizontal="center" vertical="center" wrapText="1"/>
    </xf>
    <xf numFmtId="0" fontId="16" fillId="2" borderId="33" xfId="0" applyFont="1" applyFill="1" applyBorder="1" applyAlignment="1">
      <alignment horizontal="left" vertical="center" wrapText="1"/>
    </xf>
    <xf numFmtId="0" fontId="16" fillId="2" borderId="0" xfId="0" applyFont="1" applyFill="1" applyAlignment="1">
      <alignment horizontal="left" vertical="center" wrapText="1"/>
    </xf>
    <xf numFmtId="174" fontId="16" fillId="2" borderId="12" xfId="0" applyNumberFormat="1" applyFont="1" applyFill="1" applyBorder="1" applyAlignment="1">
      <alignment horizontal="right"/>
    </xf>
    <xf numFmtId="0" fontId="16" fillId="2" borderId="29" xfId="0" applyFont="1" applyFill="1" applyBorder="1" applyAlignment="1">
      <alignment horizontal="left" vertical="center" wrapText="1"/>
    </xf>
    <xf numFmtId="174" fontId="16" fillId="2" borderId="22" xfId="0" applyNumberFormat="1" applyFont="1" applyFill="1" applyBorder="1" applyAlignment="1">
      <alignment horizontal="center"/>
    </xf>
    <xf numFmtId="0" fontId="16" fillId="2" borderId="0" xfId="0" applyFont="1" applyFill="1" applyAlignment="1">
      <alignment horizontal="left" vertical="center"/>
    </xf>
    <xf numFmtId="0" fontId="16" fillId="2" borderId="0" xfId="0" applyFont="1" applyFill="1" applyAlignment="1">
      <alignment horizontal="center" vertical="center"/>
    </xf>
    <xf numFmtId="174" fontId="16" fillId="2" borderId="19" xfId="0" applyNumberFormat="1" applyFont="1" applyFill="1" applyBorder="1" applyAlignment="1">
      <alignment horizontal="right" vertical="center"/>
    </xf>
    <xf numFmtId="174" fontId="16" fillId="2" borderId="21" xfId="0" applyNumberFormat="1" applyFont="1" applyFill="1" applyBorder="1" applyAlignment="1">
      <alignment horizontal="right" vertical="center"/>
    </xf>
    <xf numFmtId="0" fontId="16" fillId="2" borderId="53" xfId="0" applyFont="1" applyFill="1" applyBorder="1" applyAlignment="1">
      <alignment horizontal="left"/>
    </xf>
    <xf numFmtId="0" fontId="15" fillId="2" borderId="49" xfId="0" applyFont="1" applyFill="1" applyBorder="1" applyAlignment="1">
      <alignment horizontal="center" vertical="center"/>
    </xf>
    <xf numFmtId="0" fontId="15" fillId="2" borderId="51" xfId="0" applyFont="1" applyFill="1" applyBorder="1" applyAlignment="1">
      <alignment horizontal="center" vertical="center"/>
    </xf>
    <xf numFmtId="0" fontId="15" fillId="2" borderId="50" xfId="0" applyFont="1" applyFill="1" applyBorder="1" applyAlignment="1">
      <alignment horizontal="center" vertical="center"/>
    </xf>
    <xf numFmtId="1" fontId="16" fillId="2" borderId="12" xfId="0" applyNumberFormat="1" applyFont="1" applyFill="1" applyBorder="1" applyAlignment="1">
      <alignment horizontal="right"/>
    </xf>
    <xf numFmtId="0" fontId="11" fillId="2" borderId="0" xfId="0" applyFont="1" applyFill="1" applyAlignment="1">
      <alignment horizontal="left"/>
    </xf>
    <xf numFmtId="0" fontId="11" fillId="2" borderId="52" xfId="0" applyFont="1" applyFill="1" applyBorder="1" applyAlignment="1">
      <alignment horizontal="center" vertical="center"/>
    </xf>
    <xf numFmtId="0" fontId="11" fillId="2" borderId="20" xfId="0" applyFont="1" applyFill="1" applyBorder="1" applyAlignment="1">
      <alignment horizontal="center" vertical="center"/>
    </xf>
    <xf numFmtId="0" fontId="21" fillId="2" borderId="46" xfId="0" applyFont="1" applyFill="1" applyBorder="1" applyAlignment="1">
      <alignment horizontal="center" vertical="center" wrapText="1"/>
    </xf>
    <xf numFmtId="0" fontId="21" fillId="2" borderId="47" xfId="0" applyFont="1" applyFill="1" applyBorder="1" applyAlignment="1">
      <alignment horizontal="center" vertical="center" wrapText="1"/>
    </xf>
    <xf numFmtId="0" fontId="21" fillId="2" borderId="48" xfId="0" applyFont="1" applyFill="1" applyBorder="1" applyAlignment="1">
      <alignment horizontal="center" vertical="center" wrapText="1"/>
    </xf>
    <xf numFmtId="0" fontId="20" fillId="2" borderId="49" xfId="0" applyFont="1" applyFill="1" applyBorder="1" applyAlignment="1">
      <alignment horizontal="center" vertical="center" wrapText="1"/>
    </xf>
    <xf numFmtId="0" fontId="20" fillId="2" borderId="50" xfId="0" applyFont="1" applyFill="1" applyBorder="1" applyAlignment="1">
      <alignment horizontal="center" vertical="center" wrapText="1"/>
    </xf>
    <xf numFmtId="176" fontId="38" fillId="2" borderId="49" xfId="0" applyNumberFormat="1" applyFont="1" applyFill="1" applyBorder="1" applyAlignment="1">
      <alignment horizontal="center" vertical="center" wrapText="1"/>
    </xf>
    <xf numFmtId="176" fontId="38" fillId="2" borderId="50" xfId="0" applyNumberFormat="1" applyFont="1" applyFill="1" applyBorder="1" applyAlignment="1">
      <alignment horizontal="center" vertical="center" wrapText="1"/>
    </xf>
    <xf numFmtId="0" fontId="21" fillId="2" borderId="26" xfId="0" applyFont="1" applyFill="1" applyBorder="1" applyAlignment="1">
      <alignment horizontal="center" vertical="center" wrapText="1"/>
    </xf>
    <xf numFmtId="0" fontId="21" fillId="2" borderId="0" xfId="0" applyFont="1" applyFill="1" applyAlignment="1">
      <alignment horizontal="center" vertical="center" wrapText="1"/>
    </xf>
    <xf numFmtId="0" fontId="21" fillId="2" borderId="27" xfId="0" applyFont="1" applyFill="1" applyBorder="1" applyAlignment="1">
      <alignment horizontal="center" vertical="center" wrapText="1"/>
    </xf>
    <xf numFmtId="0" fontId="15" fillId="2" borderId="49" xfId="0" applyFont="1" applyFill="1" applyBorder="1" applyAlignment="1">
      <alignment horizontal="center"/>
    </xf>
    <xf numFmtId="0" fontId="15" fillId="2" borderId="51" xfId="0" applyFont="1" applyFill="1" applyBorder="1" applyAlignment="1">
      <alignment horizontal="center"/>
    </xf>
    <xf numFmtId="0" fontId="15" fillId="2" borderId="50" xfId="0" applyFont="1" applyFill="1" applyBorder="1" applyAlignment="1">
      <alignment horizontal="center"/>
    </xf>
    <xf numFmtId="0" fontId="16" fillId="2" borderId="0" xfId="0" applyFont="1" applyFill="1" applyAlignment="1">
      <alignment horizontal="center"/>
    </xf>
    <xf numFmtId="0" fontId="33" fillId="2" borderId="11" xfId="0" applyFont="1" applyFill="1" applyBorder="1" applyAlignment="1">
      <alignment horizontal="right" vertical="center"/>
    </xf>
    <xf numFmtId="0" fontId="17" fillId="2" borderId="11" xfId="0" applyFont="1" applyFill="1" applyBorder="1" applyAlignment="1">
      <alignment horizontal="center" vertical="center"/>
    </xf>
    <xf numFmtId="0" fontId="17" fillId="2" borderId="11" xfId="0" applyFont="1" applyFill="1" applyBorder="1" applyAlignment="1">
      <alignment horizontal="justify" vertical="center" wrapText="1"/>
    </xf>
    <xf numFmtId="0" fontId="33" fillId="2" borderId="0" xfId="0" applyFont="1" applyFill="1" applyAlignment="1">
      <alignment vertical="center"/>
    </xf>
    <xf numFmtId="0" fontId="17" fillId="2" borderId="12" xfId="0" applyFont="1" applyFill="1" applyBorder="1" applyAlignment="1">
      <alignment horizontal="center" vertical="center"/>
    </xf>
    <xf numFmtId="0" fontId="33" fillId="2" borderId="11" xfId="0" applyFont="1" applyFill="1" applyBorder="1" applyAlignment="1">
      <alignment horizontal="right" vertical="center" wrapText="1"/>
    </xf>
    <xf numFmtId="0" fontId="17" fillId="2" borderId="19" xfId="0" applyFont="1" applyFill="1" applyBorder="1" applyAlignment="1">
      <alignment horizontal="center" vertical="center" wrapText="1"/>
    </xf>
    <xf numFmtId="0" fontId="17" fillId="2" borderId="20" xfId="0" applyFont="1" applyFill="1" applyBorder="1" applyAlignment="1">
      <alignment horizontal="center" vertical="center" wrapText="1"/>
    </xf>
    <xf numFmtId="0" fontId="17" fillId="2" borderId="21" xfId="0" applyFont="1" applyFill="1" applyBorder="1" applyAlignment="1">
      <alignment horizontal="center" vertical="center" wrapText="1"/>
    </xf>
    <xf numFmtId="1" fontId="17" fillId="2" borderId="11" xfId="0" applyNumberFormat="1" applyFont="1" applyFill="1" applyBorder="1" applyAlignment="1">
      <alignment horizontal="center" vertical="center" wrapText="1"/>
    </xf>
    <xf numFmtId="0" fontId="33" fillId="2" borderId="19" xfId="0" applyFont="1" applyFill="1" applyBorder="1" applyAlignment="1">
      <alignment horizontal="right" vertical="center"/>
    </xf>
    <xf numFmtId="0" fontId="33" fillId="2" borderId="20" xfId="0" applyFont="1" applyFill="1" applyBorder="1" applyAlignment="1">
      <alignment horizontal="right" vertical="center"/>
    </xf>
    <xf numFmtId="0" fontId="33" fillId="2" borderId="21" xfId="0" applyFont="1" applyFill="1" applyBorder="1" applyAlignment="1">
      <alignment horizontal="right" vertical="center"/>
    </xf>
    <xf numFmtId="164" fontId="10" fillId="2" borderId="19" xfId="0" applyNumberFormat="1" applyFont="1" applyFill="1" applyBorder="1" applyAlignment="1">
      <alignment horizontal="center" vertical="center" wrapText="1"/>
    </xf>
    <xf numFmtId="164" fontId="10" fillId="2" borderId="20" xfId="0" applyNumberFormat="1" applyFont="1" applyFill="1" applyBorder="1" applyAlignment="1">
      <alignment horizontal="center" vertical="center" wrapText="1"/>
    </xf>
    <xf numFmtId="164" fontId="10" fillId="2" borderId="21" xfId="0" applyNumberFormat="1" applyFont="1" applyFill="1" applyBorder="1" applyAlignment="1">
      <alignment horizontal="center" vertical="center" wrapText="1"/>
    </xf>
    <xf numFmtId="0" fontId="33" fillId="2" borderId="11" xfId="0" applyFont="1" applyFill="1" applyBorder="1" applyAlignment="1">
      <alignment horizontal="center" vertical="center"/>
    </xf>
    <xf numFmtId="0" fontId="16" fillId="2" borderId="19" xfId="0" applyFont="1" applyFill="1" applyBorder="1" applyAlignment="1">
      <alignment horizontal="center" vertical="top" wrapText="1"/>
    </xf>
    <xf numFmtId="0" fontId="16" fillId="2" borderId="20" xfId="0" applyFont="1" applyFill="1" applyBorder="1" applyAlignment="1">
      <alignment horizontal="center" vertical="top" wrapText="1"/>
    </xf>
    <xf numFmtId="0" fontId="16" fillId="2" borderId="21" xfId="0" applyFont="1" applyFill="1" applyBorder="1" applyAlignment="1">
      <alignment horizontal="center" vertical="top" wrapText="1"/>
    </xf>
    <xf numFmtId="0" fontId="34" fillId="2" borderId="11" xfId="0" applyFont="1" applyFill="1" applyBorder="1" applyAlignment="1">
      <alignment horizontal="center" vertical="center" wrapText="1"/>
    </xf>
    <xf numFmtId="164" fontId="19" fillId="2" borderId="3" xfId="0" applyNumberFormat="1" applyFont="1" applyFill="1" applyBorder="1" applyAlignment="1">
      <alignment horizontal="center" vertical="center" wrapText="1"/>
    </xf>
    <xf numFmtId="164" fontId="19" fillId="2" borderId="7" xfId="0" applyNumberFormat="1" applyFont="1" applyFill="1" applyBorder="1" applyAlignment="1">
      <alignment horizontal="center" vertical="center" wrapText="1"/>
    </xf>
    <xf numFmtId="49" fontId="11" fillId="2" borderId="11" xfId="0" applyNumberFormat="1" applyFont="1" applyFill="1" applyBorder="1" applyAlignment="1">
      <alignment horizontal="center" vertical="center" wrapText="1"/>
    </xf>
    <xf numFmtId="0" fontId="11" fillId="2" borderId="11" xfId="0" applyFont="1" applyFill="1" applyBorder="1" applyAlignment="1">
      <alignment horizontal="center" vertical="center" wrapText="1"/>
    </xf>
    <xf numFmtId="0" fontId="33" fillId="2" borderId="11" xfId="0" applyFont="1" applyFill="1" applyBorder="1" applyAlignment="1">
      <alignment horizontal="center" vertical="center" wrapText="1"/>
    </xf>
    <xf numFmtId="49" fontId="17" fillId="2" borderId="19" xfId="0" applyNumberFormat="1" applyFont="1" applyFill="1" applyBorder="1" applyAlignment="1">
      <alignment horizontal="center" vertical="center"/>
    </xf>
    <xf numFmtId="49" fontId="17" fillId="2" borderId="20" xfId="0" applyNumberFormat="1" applyFont="1" applyFill="1" applyBorder="1" applyAlignment="1">
      <alignment horizontal="center" vertical="center"/>
    </xf>
    <xf numFmtId="49" fontId="17" fillId="2" borderId="21" xfId="0" applyNumberFormat="1" applyFont="1" applyFill="1" applyBorder="1" applyAlignment="1">
      <alignment horizontal="center" vertical="center"/>
    </xf>
    <xf numFmtId="0" fontId="17" fillId="2" borderId="19" xfId="0" applyFont="1" applyFill="1" applyBorder="1" applyAlignment="1">
      <alignment horizontal="center" vertical="center"/>
    </xf>
    <xf numFmtId="0" fontId="17" fillId="2" borderId="20" xfId="0" applyFont="1" applyFill="1" applyBorder="1" applyAlignment="1">
      <alignment horizontal="center" vertical="center"/>
    </xf>
    <xf numFmtId="0" fontId="17" fillId="2" borderId="21" xfId="0" applyFont="1" applyFill="1" applyBorder="1" applyAlignment="1">
      <alignment horizontal="center" vertical="center"/>
    </xf>
    <xf numFmtId="0" fontId="33" fillId="2" borderId="11" xfId="0" applyFont="1" applyFill="1" applyBorder="1" applyAlignment="1">
      <alignment vertical="center"/>
    </xf>
    <xf numFmtId="0" fontId="18" fillId="2" borderId="0" xfId="0" applyFont="1" applyFill="1" applyAlignment="1">
      <alignment horizontal="center" vertical="center" wrapText="1"/>
    </xf>
    <xf numFmtId="1" fontId="33" fillId="2" borderId="11" xfId="0" applyNumberFormat="1" applyFont="1" applyFill="1" applyBorder="1" applyAlignment="1">
      <alignment horizontal="center" vertical="center"/>
    </xf>
    <xf numFmtId="49" fontId="33" fillId="2" borderId="11" xfId="0" applyNumberFormat="1" applyFont="1" applyFill="1" applyBorder="1" applyAlignment="1">
      <alignment horizontal="center" vertical="center"/>
    </xf>
    <xf numFmtId="0" fontId="16" fillId="2" borderId="19" xfId="0" applyFont="1" applyFill="1" applyBorder="1" applyAlignment="1">
      <alignment horizontal="center" vertical="center"/>
    </xf>
    <xf numFmtId="0" fontId="16" fillId="2" borderId="20" xfId="0" applyFont="1" applyFill="1" applyBorder="1" applyAlignment="1">
      <alignment horizontal="center" vertical="center"/>
    </xf>
    <xf numFmtId="0" fontId="16" fillId="2" borderId="21" xfId="0" applyFont="1" applyFill="1" applyBorder="1" applyAlignment="1">
      <alignment horizontal="center" vertical="center"/>
    </xf>
    <xf numFmtId="0" fontId="7" fillId="2" borderId="19" xfId="0" applyFont="1" applyFill="1" applyBorder="1" applyAlignment="1">
      <alignment horizontal="center" vertical="center" wrapText="1"/>
    </xf>
    <xf numFmtId="0" fontId="7" fillId="2" borderId="20" xfId="0" applyFont="1" applyFill="1" applyBorder="1" applyAlignment="1">
      <alignment horizontal="center" vertical="center" wrapText="1"/>
    </xf>
    <xf numFmtId="0" fontId="7" fillId="2" borderId="21" xfId="0" applyFont="1" applyFill="1" applyBorder="1" applyAlignment="1">
      <alignment horizontal="center" vertical="center" wrapText="1"/>
    </xf>
    <xf numFmtId="0" fontId="11" fillId="2" borderId="19" xfId="0" applyFont="1" applyFill="1" applyBorder="1" applyAlignment="1">
      <alignment horizontal="center" vertical="top" wrapText="1"/>
    </xf>
    <xf numFmtId="0" fontId="11" fillId="2" borderId="20" xfId="0" applyFont="1" applyFill="1" applyBorder="1" applyAlignment="1">
      <alignment horizontal="center" vertical="top" wrapText="1"/>
    </xf>
    <xf numFmtId="0" fontId="11" fillId="2" borderId="21" xfId="0" applyFont="1" applyFill="1" applyBorder="1" applyAlignment="1">
      <alignment horizontal="center" vertical="top" wrapText="1"/>
    </xf>
    <xf numFmtId="0" fontId="10" fillId="2" borderId="19" xfId="0" applyFont="1" applyFill="1" applyBorder="1" applyAlignment="1">
      <alignment horizontal="center" vertical="center"/>
    </xf>
    <xf numFmtId="0" fontId="10" fillId="2" borderId="21" xfId="0" applyFont="1" applyFill="1" applyBorder="1" applyAlignment="1">
      <alignment horizontal="center" vertical="center"/>
    </xf>
    <xf numFmtId="49" fontId="9" fillId="2" borderId="0" xfId="0" applyNumberFormat="1" applyFont="1" applyFill="1" applyAlignment="1">
      <alignment horizontal="center"/>
    </xf>
    <xf numFmtId="0" fontId="7" fillId="2" borderId="0" xfId="0" applyFont="1" applyFill="1" applyAlignment="1">
      <alignment horizontal="right"/>
    </xf>
    <xf numFmtId="0" fontId="10" fillId="2" borderId="11" xfId="0" applyFont="1" applyFill="1" applyBorder="1" applyAlignment="1">
      <alignment horizontal="center" vertical="center"/>
    </xf>
    <xf numFmtId="0" fontId="10" fillId="2" borderId="4" xfId="0" applyFont="1" applyFill="1" applyBorder="1" applyAlignment="1">
      <alignment horizontal="center" vertical="center"/>
    </xf>
    <xf numFmtId="0" fontId="10" fillId="2" borderId="10" xfId="0" applyFont="1" applyFill="1" applyBorder="1" applyAlignment="1">
      <alignment horizontal="center" vertical="center"/>
    </xf>
    <xf numFmtId="49" fontId="9" fillId="2" borderId="12" xfId="0" applyNumberFormat="1" applyFont="1" applyFill="1" applyBorder="1" applyAlignment="1">
      <alignment horizontal="center"/>
    </xf>
    <xf numFmtId="0" fontId="9" fillId="2" borderId="12" xfId="0" applyFont="1" applyFill="1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10" xfId="0" applyFont="1" applyBorder="1" applyAlignment="1">
      <alignment horizontal="center"/>
    </xf>
    <xf numFmtId="0" fontId="13" fillId="2" borderId="11" xfId="0" applyFont="1" applyFill="1" applyBorder="1" applyAlignment="1">
      <alignment horizontal="justify" vertical="top" wrapText="1"/>
    </xf>
    <xf numFmtId="0" fontId="13" fillId="2" borderId="19" xfId="0" applyFont="1" applyFill="1" applyBorder="1" applyAlignment="1">
      <alignment horizontal="left" vertical="top" wrapText="1"/>
    </xf>
    <xf numFmtId="0" fontId="13" fillId="2" borderId="20" xfId="0" applyFont="1" applyFill="1" applyBorder="1" applyAlignment="1">
      <alignment horizontal="left" vertical="top" wrapText="1"/>
    </xf>
    <xf numFmtId="0" fontId="13" fillId="2" borderId="21" xfId="0" applyFont="1" applyFill="1" applyBorder="1" applyAlignment="1">
      <alignment horizontal="left" vertical="top" wrapText="1"/>
    </xf>
    <xf numFmtId="0" fontId="5" fillId="0" borderId="5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8" xfId="0" applyFont="1" applyBorder="1" applyAlignment="1">
      <alignment horizontal="center"/>
    </xf>
    <xf numFmtId="0" fontId="7" fillId="2" borderId="19" xfId="0" applyFont="1" applyFill="1" applyBorder="1" applyAlignment="1">
      <alignment horizontal="left" vertical="top"/>
    </xf>
    <xf numFmtId="0" fontId="7" fillId="2" borderId="20" xfId="0" applyFont="1" applyFill="1" applyBorder="1" applyAlignment="1">
      <alignment horizontal="left" vertical="top"/>
    </xf>
    <xf numFmtId="0" fontId="7" fillId="2" borderId="21" xfId="0" applyFont="1" applyFill="1" applyBorder="1" applyAlignment="1">
      <alignment horizontal="left" vertical="top"/>
    </xf>
    <xf numFmtId="0" fontId="10" fillId="2" borderId="19" xfId="0" applyFont="1" applyFill="1" applyBorder="1" applyAlignment="1">
      <alignment horizontal="center" vertical="top"/>
    </xf>
    <xf numFmtId="0" fontId="10" fillId="2" borderId="20" xfId="0" applyFont="1" applyFill="1" applyBorder="1" applyAlignment="1">
      <alignment horizontal="center" vertical="top"/>
    </xf>
    <xf numFmtId="0" fontId="7" fillId="2" borderId="11" xfId="0" applyFont="1" applyFill="1" applyBorder="1" applyAlignment="1">
      <alignment horizontal="left" vertical="top" wrapText="1"/>
    </xf>
    <xf numFmtId="0" fontId="11" fillId="2" borderId="19" xfId="0" applyFont="1" applyFill="1" applyBorder="1" applyAlignment="1">
      <alignment horizontal="left" vertical="top" wrapText="1"/>
    </xf>
    <xf numFmtId="0" fontId="11" fillId="2" borderId="20" xfId="0" applyFont="1" applyFill="1" applyBorder="1" applyAlignment="1">
      <alignment horizontal="left" vertical="top" wrapText="1"/>
    </xf>
    <xf numFmtId="0" fontId="11" fillId="2" borderId="21" xfId="0" applyFont="1" applyFill="1" applyBorder="1" applyAlignment="1">
      <alignment horizontal="left" vertical="top" wrapText="1"/>
    </xf>
  </cellXfs>
  <cellStyles count="11">
    <cellStyle name="Hipervínculo 2" xfId="1" xr:uid="{00000000-0005-0000-0000-000000000000}"/>
    <cellStyle name="Millares" xfId="2" builtinId="3"/>
    <cellStyle name="Moneda" xfId="3" builtinId="4"/>
    <cellStyle name="Normal" xfId="0" builtinId="0"/>
    <cellStyle name="Normal 2" xfId="4" xr:uid="{00000000-0005-0000-0000-000004000000}"/>
    <cellStyle name="Normal 2 2" xfId="5" xr:uid="{00000000-0005-0000-0000-000005000000}"/>
    <cellStyle name="Normal 2 3" xfId="6" xr:uid="{00000000-0005-0000-0000-000006000000}"/>
    <cellStyle name="Normal 3" xfId="7" xr:uid="{00000000-0005-0000-0000-000007000000}"/>
    <cellStyle name="Porcentaje 2" xfId="8" xr:uid="{00000000-0005-0000-0000-000008000000}"/>
    <cellStyle name="Porcentaje 3" xfId="9" xr:uid="{00000000-0005-0000-0000-000009000000}"/>
    <cellStyle name="Porcentual 2" xfId="10" xr:uid="{00000000-0005-0000-0000-00000A000000}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361950</xdr:colOff>
      <xdr:row>21</xdr:row>
      <xdr:rowOff>0</xdr:rowOff>
    </xdr:from>
    <xdr:to>
      <xdr:col>6</xdr:col>
      <xdr:colOff>152400</xdr:colOff>
      <xdr:row>21</xdr:row>
      <xdr:rowOff>0</xdr:rowOff>
    </xdr:to>
    <xdr:pic>
      <xdr:nvPicPr>
        <xdr:cNvPr id="12361" name="Imagen 1">
          <a:extLst>
            <a:ext uri="{FF2B5EF4-FFF2-40B4-BE49-F238E27FC236}">
              <a16:creationId xmlns:a16="http://schemas.microsoft.com/office/drawing/2014/main" id="{00000000-0008-0000-0300-000049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4925" y="8829675"/>
          <a:ext cx="17430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solidFill>
          <a:schemeClr val="lt1"/>
        </a:solidFill>
        <a:ln w="9525" cmpd="sng">
          <a:noFill/>
        </a:ln>
      </a:spPr>
      <a:bodyPr vertOverflow="clip" horzOverflow="clip" wrap="square" rtlCol="0" anchor="ctr"/>
      <a:lstStyle>
        <a:defPPr>
          <a:defRPr sz="800"/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5">
    <pageSetUpPr fitToPage="1"/>
  </sheetPr>
  <dimension ref="A1:AS2319"/>
  <sheetViews>
    <sheetView showGridLines="0" tabSelected="1" view="pageLayout" zoomScale="90" zoomScaleNormal="100" zoomScaleSheetLayoutView="160" zoomScalePageLayoutView="90" workbookViewId="0">
      <selection activeCell="I8" sqref="I8:R8"/>
    </sheetView>
  </sheetViews>
  <sheetFormatPr baseColWidth="10" defaultColWidth="38.42578125" defaultRowHeight="18" zeroHeight="1" x14ac:dyDescent="0.35"/>
  <cols>
    <col min="1" max="1" width="1.140625" style="317" customWidth="1"/>
    <col min="2" max="2" width="2.42578125" style="317" customWidth="1"/>
    <col min="3" max="3" width="5" style="317" customWidth="1"/>
    <col min="4" max="4" width="0.7109375" style="317" customWidth="1"/>
    <col min="5" max="5" width="6.28515625" style="317" customWidth="1"/>
    <col min="6" max="6" width="1.7109375" style="317" customWidth="1"/>
    <col min="7" max="7" width="7.28515625" style="317" customWidth="1"/>
    <col min="8" max="8" width="1.28515625" style="317" customWidth="1"/>
    <col min="9" max="9" width="4.28515625" style="317" customWidth="1"/>
    <col min="10" max="11" width="3" style="317" customWidth="1"/>
    <col min="12" max="12" width="2.7109375" style="317" customWidth="1"/>
    <col min="13" max="13" width="4" style="317" customWidth="1"/>
    <col min="14" max="14" width="3.85546875" style="317" customWidth="1"/>
    <col min="15" max="15" width="4.42578125" style="317" customWidth="1"/>
    <col min="16" max="16" width="3.28515625" style="317" customWidth="1"/>
    <col min="17" max="17" width="3" style="317" customWidth="1"/>
    <col min="18" max="18" width="10.7109375" style="317" customWidth="1"/>
    <col min="19" max="19" width="3.140625" style="317" customWidth="1"/>
    <col min="20" max="20" width="1" style="317" customWidth="1"/>
    <col min="21" max="21" width="4.42578125" style="317" customWidth="1"/>
    <col min="22" max="22" width="3.5703125" style="317" customWidth="1"/>
    <col min="23" max="25" width="4.28515625" style="317" customWidth="1"/>
    <col min="26" max="26" width="2.85546875" style="317" customWidth="1"/>
    <col min="27" max="27" width="4.28515625" style="317" customWidth="1"/>
    <col min="28" max="28" width="4.140625" style="317" customWidth="1"/>
    <col min="29" max="29" width="4.42578125" style="317" customWidth="1"/>
    <col min="30" max="30" width="3.7109375" style="317" customWidth="1"/>
    <col min="31" max="31" width="5.28515625" style="317" customWidth="1"/>
    <col min="32" max="32" width="2" style="317" customWidth="1"/>
    <col min="33" max="33" width="5" style="317" customWidth="1"/>
    <col min="34" max="34" width="3.140625" style="317" customWidth="1"/>
    <col min="35" max="35" width="5.85546875" style="317" customWidth="1"/>
    <col min="36" max="36" width="2" style="317" customWidth="1"/>
    <col min="37" max="37" width="4" style="317" customWidth="1"/>
    <col min="38" max="38" width="3.140625" style="317" customWidth="1"/>
    <col min="39" max="39" width="0.7109375" style="317" customWidth="1"/>
    <col min="40" max="40" width="3.42578125" style="317" customWidth="1"/>
    <col min="41" max="41" width="1.140625" style="317" customWidth="1"/>
    <col min="42" max="42" width="2.28515625" style="317" customWidth="1"/>
    <col min="43" max="43" width="38.42578125" style="317"/>
    <col min="44" max="16384" width="38.42578125" style="330"/>
  </cols>
  <sheetData>
    <row r="1" spans="1:45" s="104" customFormat="1" ht="14.25" customHeight="1" x14ac:dyDescent="0.25">
      <c r="A1" s="105"/>
      <c r="B1" s="106"/>
      <c r="C1" s="106"/>
      <c r="D1" s="106"/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6"/>
      <c r="V1" s="106"/>
      <c r="W1" s="106"/>
      <c r="X1" s="106"/>
      <c r="Y1" s="106"/>
      <c r="Z1" s="106"/>
      <c r="AA1" s="106"/>
      <c r="AB1" s="106"/>
      <c r="AC1" s="106"/>
      <c r="AD1" s="106"/>
      <c r="AE1" s="106"/>
      <c r="AF1" s="106"/>
      <c r="AG1" s="106"/>
      <c r="AH1" s="106"/>
      <c r="AI1" s="106"/>
      <c r="AJ1" s="106"/>
      <c r="AK1" s="106"/>
      <c r="AL1" s="106"/>
      <c r="AM1" s="106"/>
      <c r="AN1" s="106"/>
      <c r="AO1" s="106"/>
      <c r="AP1" s="107"/>
    </row>
    <row r="2" spans="1:45" s="104" customFormat="1" ht="18.75" customHeight="1" x14ac:dyDescent="0.35">
      <c r="A2" s="108"/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  <c r="S2" s="109"/>
      <c r="T2" s="109"/>
      <c r="U2" s="109"/>
      <c r="V2" s="109"/>
      <c r="W2" s="109"/>
      <c r="X2" s="167" t="s">
        <v>565</v>
      </c>
      <c r="Y2" s="110"/>
      <c r="Z2" s="110"/>
      <c r="AA2" s="110"/>
      <c r="AB2" s="434" t="s">
        <v>1256</v>
      </c>
      <c r="AC2" s="435"/>
      <c r="AD2" s="436"/>
      <c r="AE2" s="423" t="s">
        <v>1286</v>
      </c>
      <c r="AF2" s="424"/>
      <c r="AG2" s="425"/>
      <c r="AH2" s="417" t="s">
        <v>1298</v>
      </c>
      <c r="AI2" s="418"/>
      <c r="AJ2" s="111"/>
      <c r="AK2" s="112" t="s">
        <v>0</v>
      </c>
      <c r="AL2" s="437">
        <v>2024</v>
      </c>
      <c r="AM2" s="438"/>
      <c r="AN2" s="439"/>
      <c r="AO2" s="109"/>
      <c r="AP2" s="113"/>
    </row>
    <row r="3" spans="1:45" s="104" customFormat="1" ht="4.5" customHeight="1" x14ac:dyDescent="0.25">
      <c r="A3" s="108"/>
      <c r="B3" s="109"/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  <c r="O3" s="109"/>
      <c r="P3" s="109"/>
      <c r="Q3" s="109"/>
      <c r="R3" s="109"/>
      <c r="S3" s="109"/>
      <c r="T3" s="109"/>
      <c r="U3" s="109"/>
      <c r="V3" s="109"/>
      <c r="W3" s="109"/>
      <c r="X3" s="109"/>
      <c r="Y3" s="109"/>
      <c r="Z3" s="109"/>
      <c r="AA3" s="109"/>
      <c r="AB3" s="109"/>
      <c r="AC3" s="109"/>
      <c r="AD3" s="109"/>
      <c r="AE3" s="109"/>
      <c r="AF3" s="109"/>
      <c r="AG3" s="109"/>
      <c r="AH3" s="109"/>
      <c r="AI3" s="109"/>
      <c r="AJ3" s="109"/>
      <c r="AK3" s="109"/>
      <c r="AL3" s="114"/>
      <c r="AM3" s="115"/>
      <c r="AN3" s="116"/>
      <c r="AO3" s="109"/>
      <c r="AP3" s="113"/>
    </row>
    <row r="4" spans="1:45" s="104" customFormat="1" ht="3.75" customHeight="1" x14ac:dyDescent="0.25">
      <c r="A4" s="108"/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  <c r="AC4" s="109"/>
      <c r="AD4" s="109"/>
      <c r="AE4" s="109"/>
      <c r="AF4" s="109"/>
      <c r="AG4" s="109"/>
      <c r="AH4" s="109"/>
      <c r="AI4" s="109"/>
      <c r="AJ4" s="109"/>
      <c r="AK4" s="109"/>
      <c r="AL4" s="109"/>
      <c r="AM4" s="109"/>
      <c r="AN4" s="109"/>
      <c r="AO4" s="109"/>
      <c r="AP4" s="113"/>
    </row>
    <row r="5" spans="1:45" s="104" customFormat="1" ht="14.25" customHeight="1" x14ac:dyDescent="0.25">
      <c r="A5" s="108"/>
      <c r="B5" s="117"/>
      <c r="C5" s="118"/>
      <c r="D5" s="118"/>
      <c r="E5" s="118"/>
      <c r="F5" s="118"/>
      <c r="G5" s="118"/>
      <c r="H5" s="118"/>
      <c r="I5" s="118"/>
      <c r="J5" s="118"/>
      <c r="K5" s="118"/>
      <c r="L5" s="118"/>
      <c r="M5" s="118"/>
      <c r="N5" s="118"/>
      <c r="O5" s="118"/>
      <c r="P5" s="118"/>
      <c r="Q5" s="118"/>
      <c r="R5" s="118"/>
      <c r="S5" s="118"/>
      <c r="T5" s="118"/>
      <c r="U5" s="118"/>
      <c r="V5" s="118"/>
      <c r="W5" s="118"/>
      <c r="X5" s="118"/>
      <c r="Y5" s="118"/>
      <c r="Z5" s="118"/>
      <c r="AA5" s="118"/>
      <c r="AB5" s="118"/>
      <c r="AC5" s="118"/>
      <c r="AD5" s="118"/>
      <c r="AE5" s="118"/>
      <c r="AF5" s="118"/>
      <c r="AG5" s="118"/>
      <c r="AH5" s="118"/>
      <c r="AI5" s="118"/>
      <c r="AJ5" s="118"/>
      <c r="AK5" s="118"/>
      <c r="AL5" s="118"/>
      <c r="AM5" s="118"/>
      <c r="AN5" s="118"/>
      <c r="AO5" s="119"/>
      <c r="AP5" s="113"/>
    </row>
    <row r="6" spans="1:45" s="104" customFormat="1" ht="14.25" customHeight="1" x14ac:dyDescent="0.25">
      <c r="A6" s="108"/>
      <c r="B6" s="120"/>
      <c r="C6" s="121" t="s">
        <v>585</v>
      </c>
      <c r="D6" s="121"/>
      <c r="E6" s="121"/>
      <c r="F6" s="109"/>
      <c r="G6" s="122"/>
      <c r="H6" s="109"/>
      <c r="I6" s="123"/>
      <c r="J6" s="109"/>
      <c r="K6" s="109"/>
      <c r="L6" s="401" t="str">
        <f>AE2</f>
        <v>0134</v>
      </c>
      <c r="M6" s="401"/>
      <c r="N6" s="401"/>
      <c r="O6" s="402" t="s">
        <v>1</v>
      </c>
      <c r="P6" s="402"/>
      <c r="Q6" s="402"/>
      <c r="R6" s="402"/>
      <c r="S6" s="421" t="s">
        <v>28</v>
      </c>
      <c r="T6" s="422"/>
      <c r="U6" s="422"/>
      <c r="V6" s="422"/>
      <c r="W6" s="422"/>
      <c r="X6" s="422"/>
      <c r="Y6" s="422"/>
      <c r="Z6" s="422"/>
      <c r="AA6" s="422"/>
      <c r="AB6" s="422"/>
      <c r="AD6" s="121" t="s">
        <v>1273</v>
      </c>
      <c r="AE6" s="121"/>
      <c r="AF6" s="121"/>
      <c r="AG6" s="121"/>
      <c r="AH6" s="121"/>
      <c r="AI6" s="420">
        <v>45306</v>
      </c>
      <c r="AJ6" s="420"/>
      <c r="AK6" s="420"/>
      <c r="AL6" s="420"/>
      <c r="AM6" s="109"/>
      <c r="AN6" s="109"/>
      <c r="AO6" s="124"/>
      <c r="AP6" s="113"/>
    </row>
    <row r="7" spans="1:45" s="104" customFormat="1" ht="7.5" customHeight="1" x14ac:dyDescent="0.3">
      <c r="A7" s="108"/>
      <c r="B7" s="120"/>
      <c r="C7" s="50"/>
      <c r="D7" s="50"/>
      <c r="E7" s="50"/>
      <c r="F7" s="50"/>
      <c r="G7" s="125"/>
      <c r="H7" s="125"/>
      <c r="I7" s="125"/>
      <c r="J7" s="50"/>
      <c r="K7" s="50"/>
      <c r="L7" s="126"/>
      <c r="M7" s="57"/>
      <c r="N7" s="57"/>
      <c r="O7" s="57"/>
      <c r="P7" s="57"/>
      <c r="Q7" s="57"/>
      <c r="R7" s="57"/>
      <c r="S7" s="57"/>
      <c r="T7" s="126"/>
      <c r="U7" s="126"/>
      <c r="V7" s="126"/>
      <c r="W7" s="126"/>
      <c r="X7" s="126"/>
      <c r="Y7" s="126"/>
      <c r="Z7" s="126"/>
      <c r="AA7" s="126"/>
      <c r="AB7" s="126"/>
      <c r="AC7" s="57"/>
      <c r="AD7" s="57"/>
      <c r="AE7" s="57"/>
      <c r="AF7" s="57"/>
      <c r="AG7" s="57"/>
      <c r="AH7" s="127"/>
      <c r="AI7" s="127"/>
      <c r="AJ7" s="127"/>
      <c r="AK7" s="127"/>
      <c r="AL7" s="127"/>
      <c r="AM7" s="127"/>
      <c r="AN7" s="127"/>
      <c r="AO7" s="128"/>
      <c r="AP7" s="129"/>
    </row>
    <row r="8" spans="1:45" s="104" customFormat="1" ht="13.5" customHeight="1" x14ac:dyDescent="0.25">
      <c r="A8" s="108"/>
      <c r="B8" s="120"/>
      <c r="C8" s="414" t="s">
        <v>12</v>
      </c>
      <c r="D8" s="414"/>
      <c r="E8" s="414"/>
      <c r="F8" s="414"/>
      <c r="G8" s="414"/>
      <c r="H8" s="414"/>
      <c r="I8" s="415"/>
      <c r="J8" s="415"/>
      <c r="K8" s="415"/>
      <c r="L8" s="415"/>
      <c r="M8" s="415"/>
      <c r="N8" s="415"/>
      <c r="O8" s="415"/>
      <c r="P8" s="415"/>
      <c r="Q8" s="415"/>
      <c r="R8" s="415"/>
      <c r="S8" s="427" t="s">
        <v>1278</v>
      </c>
      <c r="T8" s="427"/>
      <c r="U8" s="427"/>
      <c r="V8" s="416">
        <v>1014181256</v>
      </c>
      <c r="W8" s="415"/>
      <c r="X8" s="415"/>
      <c r="Y8" s="415"/>
      <c r="Z8" s="415"/>
      <c r="AA8" s="426" t="s">
        <v>544</v>
      </c>
      <c r="AB8" s="426"/>
      <c r="AC8" s="426"/>
      <c r="AD8" s="426"/>
      <c r="AE8" s="419" t="s">
        <v>1236</v>
      </c>
      <c r="AF8" s="419"/>
      <c r="AG8" s="419"/>
      <c r="AH8" s="419"/>
      <c r="AI8" s="419"/>
      <c r="AJ8" s="419"/>
      <c r="AK8" s="419"/>
      <c r="AL8" s="419"/>
      <c r="AM8" s="127"/>
      <c r="AN8" s="127"/>
      <c r="AO8" s="128"/>
      <c r="AP8" s="129"/>
    </row>
    <row r="9" spans="1:45" s="104" customFormat="1" ht="9.75" customHeight="1" x14ac:dyDescent="0.3">
      <c r="A9" s="108"/>
      <c r="B9" s="130"/>
      <c r="C9" s="131"/>
      <c r="D9" s="131"/>
      <c r="E9" s="131"/>
      <c r="F9" s="131"/>
      <c r="G9" s="131"/>
      <c r="H9" s="131"/>
      <c r="I9" s="131"/>
      <c r="J9" s="132"/>
      <c r="K9" s="132"/>
      <c r="L9" s="132"/>
      <c r="M9" s="132"/>
      <c r="N9" s="132"/>
      <c r="O9" s="132"/>
      <c r="P9" s="132"/>
      <c r="Q9" s="132"/>
      <c r="R9" s="132"/>
      <c r="S9" s="132"/>
      <c r="T9" s="132"/>
      <c r="U9" s="132"/>
      <c r="V9" s="132"/>
      <c r="W9" s="132"/>
      <c r="X9" s="132"/>
      <c r="Y9" s="132"/>
      <c r="Z9" s="132"/>
      <c r="AA9" s="132"/>
      <c r="AB9" s="132"/>
      <c r="AC9" s="132"/>
      <c r="AD9" s="132"/>
      <c r="AE9" s="133"/>
      <c r="AF9" s="133"/>
      <c r="AG9" s="133"/>
      <c r="AH9" s="134"/>
      <c r="AI9" s="134"/>
      <c r="AJ9" s="134"/>
      <c r="AK9" s="134"/>
      <c r="AL9" s="134"/>
      <c r="AM9" s="134"/>
      <c r="AN9" s="134"/>
      <c r="AO9" s="135"/>
      <c r="AP9" s="113"/>
    </row>
    <row r="10" spans="1:45" s="104" customFormat="1" ht="4.5" customHeight="1" x14ac:dyDescent="0.35">
      <c r="A10" s="108"/>
      <c r="B10" s="109"/>
      <c r="C10" s="136"/>
      <c r="D10" s="136"/>
      <c r="E10" s="136"/>
      <c r="F10" s="136"/>
      <c r="G10" s="136"/>
      <c r="H10" s="136"/>
      <c r="I10" s="136"/>
      <c r="J10" s="137"/>
      <c r="K10" s="137"/>
      <c r="L10" s="137"/>
      <c r="M10" s="137"/>
      <c r="N10" s="137"/>
      <c r="O10" s="137"/>
      <c r="P10" s="137"/>
      <c r="Q10" s="137"/>
      <c r="R10" s="137"/>
      <c r="S10" s="137"/>
      <c r="T10" s="137"/>
      <c r="U10" s="137"/>
      <c r="V10" s="137"/>
      <c r="W10" s="137"/>
      <c r="X10" s="137"/>
      <c r="Y10" s="137"/>
      <c r="Z10" s="137"/>
      <c r="AA10" s="137"/>
      <c r="AB10" s="137"/>
      <c r="AC10" s="137"/>
      <c r="AD10" s="137"/>
      <c r="AE10" s="138"/>
      <c r="AF10" s="138"/>
      <c r="AG10" s="138"/>
      <c r="AH10" s="139"/>
      <c r="AI10" s="139"/>
      <c r="AJ10" s="139"/>
      <c r="AK10" s="139"/>
      <c r="AL10" s="139"/>
      <c r="AM10" s="139"/>
      <c r="AN10" s="139"/>
      <c r="AO10" s="111"/>
      <c r="AP10" s="113"/>
    </row>
    <row r="11" spans="1:45" s="104" customFormat="1" ht="9" customHeight="1" x14ac:dyDescent="0.25">
      <c r="A11" s="108"/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09"/>
      <c r="O11" s="109"/>
      <c r="P11" s="109"/>
      <c r="Q11" s="109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09"/>
      <c r="AC11" s="109"/>
      <c r="AD11" s="109"/>
      <c r="AE11" s="109"/>
      <c r="AF11" s="109"/>
      <c r="AG11" s="109"/>
      <c r="AH11" s="109"/>
      <c r="AI11" s="109"/>
      <c r="AJ11" s="109"/>
      <c r="AK11" s="109"/>
      <c r="AL11" s="109"/>
      <c r="AM11" s="109"/>
      <c r="AN11" s="109"/>
      <c r="AO11" s="109"/>
      <c r="AP11" s="141"/>
    </row>
    <row r="12" spans="1:45" s="104" customFormat="1" ht="40.5" customHeight="1" x14ac:dyDescent="0.25">
      <c r="A12" s="108"/>
      <c r="B12" s="408" t="s">
        <v>16</v>
      </c>
      <c r="C12" s="409"/>
      <c r="D12" s="409"/>
      <c r="E12" s="410"/>
      <c r="F12" s="142"/>
      <c r="G12" s="428" t="s">
        <v>1287</v>
      </c>
      <c r="H12" s="429"/>
      <c r="I12" s="429"/>
      <c r="J12" s="429"/>
      <c r="K12" s="429"/>
      <c r="L12" s="429"/>
      <c r="M12" s="429"/>
      <c r="N12" s="429"/>
      <c r="O12" s="429"/>
      <c r="P12" s="429"/>
      <c r="Q12" s="429"/>
      <c r="R12" s="429"/>
      <c r="S12" s="429"/>
      <c r="T12" s="429"/>
      <c r="U12" s="429"/>
      <c r="V12" s="429"/>
      <c r="W12" s="429"/>
      <c r="X12" s="429"/>
      <c r="Y12" s="429"/>
      <c r="Z12" s="429"/>
      <c r="AA12" s="429"/>
      <c r="AB12" s="429"/>
      <c r="AC12" s="429"/>
      <c r="AD12" s="429"/>
      <c r="AE12" s="429"/>
      <c r="AF12" s="429"/>
      <c r="AG12" s="429"/>
      <c r="AH12" s="429"/>
      <c r="AI12" s="429"/>
      <c r="AJ12" s="429"/>
      <c r="AK12" s="429"/>
      <c r="AL12" s="429"/>
      <c r="AM12" s="429"/>
      <c r="AN12" s="429"/>
      <c r="AO12" s="430"/>
      <c r="AP12" s="141"/>
    </row>
    <row r="13" spans="1:45" s="104" customFormat="1" ht="36" customHeight="1" x14ac:dyDescent="0.25">
      <c r="A13" s="108"/>
      <c r="B13" s="411"/>
      <c r="C13" s="412"/>
      <c r="D13" s="412"/>
      <c r="E13" s="413"/>
      <c r="F13" s="142"/>
      <c r="G13" s="431"/>
      <c r="H13" s="432"/>
      <c r="I13" s="432"/>
      <c r="J13" s="432"/>
      <c r="K13" s="432"/>
      <c r="L13" s="432"/>
      <c r="M13" s="432"/>
      <c r="N13" s="432"/>
      <c r="O13" s="432"/>
      <c r="P13" s="432"/>
      <c r="Q13" s="432"/>
      <c r="R13" s="432"/>
      <c r="S13" s="432"/>
      <c r="T13" s="432"/>
      <c r="U13" s="432"/>
      <c r="V13" s="432"/>
      <c r="W13" s="432"/>
      <c r="X13" s="432"/>
      <c r="Y13" s="432"/>
      <c r="Z13" s="432"/>
      <c r="AA13" s="432"/>
      <c r="AB13" s="432"/>
      <c r="AC13" s="432"/>
      <c r="AD13" s="432"/>
      <c r="AE13" s="432"/>
      <c r="AF13" s="432"/>
      <c r="AG13" s="432"/>
      <c r="AH13" s="432"/>
      <c r="AI13" s="432"/>
      <c r="AJ13" s="432"/>
      <c r="AK13" s="432"/>
      <c r="AL13" s="432"/>
      <c r="AM13" s="432"/>
      <c r="AN13" s="432"/>
      <c r="AO13" s="433"/>
      <c r="AP13" s="141"/>
    </row>
    <row r="14" spans="1:45" s="104" customFormat="1" ht="7.5" customHeight="1" x14ac:dyDescent="0.25">
      <c r="A14" s="108"/>
      <c r="B14" s="109"/>
      <c r="C14" s="109"/>
      <c r="D14" s="109"/>
      <c r="E14" s="109"/>
      <c r="F14" s="109"/>
      <c r="G14" s="109"/>
      <c r="H14" s="109"/>
      <c r="I14" s="109"/>
      <c r="J14" s="109"/>
      <c r="K14" s="109"/>
      <c r="L14" s="109"/>
      <c r="M14" s="109"/>
      <c r="N14" s="109"/>
      <c r="O14" s="109"/>
      <c r="P14" s="109"/>
      <c r="Q14" s="109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3"/>
      <c r="AC14" s="143"/>
      <c r="AD14" s="143"/>
      <c r="AE14" s="143"/>
      <c r="AF14" s="143"/>
      <c r="AG14" s="143"/>
      <c r="AH14" s="143"/>
      <c r="AI14" s="143"/>
      <c r="AJ14" s="143"/>
      <c r="AK14" s="143"/>
      <c r="AL14" s="143"/>
      <c r="AM14" s="143"/>
      <c r="AN14" s="143"/>
      <c r="AO14" s="143"/>
      <c r="AP14" s="141"/>
    </row>
    <row r="15" spans="1:45" s="104" customFormat="1" ht="8.25" customHeight="1" x14ac:dyDescent="0.25">
      <c r="A15" s="108"/>
      <c r="B15" s="117"/>
      <c r="C15" s="118"/>
      <c r="D15" s="118"/>
      <c r="E15" s="118"/>
      <c r="F15" s="118"/>
      <c r="G15" s="118"/>
      <c r="H15" s="118"/>
      <c r="I15" s="118"/>
      <c r="J15" s="118"/>
      <c r="K15" s="118"/>
      <c r="L15" s="118"/>
      <c r="M15" s="118"/>
      <c r="N15" s="118"/>
      <c r="O15" s="118"/>
      <c r="P15" s="118"/>
      <c r="Q15" s="118"/>
      <c r="R15" s="144"/>
      <c r="S15" s="144"/>
      <c r="T15" s="144"/>
      <c r="U15" s="144"/>
      <c r="V15" s="144"/>
      <c r="W15" s="144"/>
      <c r="X15" s="144"/>
      <c r="Y15" s="144"/>
      <c r="Z15" s="144"/>
      <c r="AA15" s="144"/>
      <c r="AB15" s="145"/>
      <c r="AC15" s="145"/>
      <c r="AD15" s="145"/>
      <c r="AE15" s="145"/>
      <c r="AF15" s="145"/>
      <c r="AG15" s="145"/>
      <c r="AH15" s="145"/>
      <c r="AI15" s="145"/>
      <c r="AJ15" s="145"/>
      <c r="AK15" s="145"/>
      <c r="AL15" s="145"/>
      <c r="AM15" s="145"/>
      <c r="AN15" s="145"/>
      <c r="AO15" s="146"/>
      <c r="AP15" s="141"/>
    </row>
    <row r="16" spans="1:45" s="104" customFormat="1" ht="15.75" customHeight="1" x14ac:dyDescent="0.25">
      <c r="A16" s="108"/>
      <c r="B16" s="120"/>
      <c r="C16" s="379" t="s">
        <v>2</v>
      </c>
      <c r="D16" s="379"/>
      <c r="E16" s="379"/>
      <c r="F16" s="379"/>
      <c r="G16" s="379"/>
      <c r="H16" s="379"/>
      <c r="I16" s="379"/>
      <c r="J16" s="379"/>
      <c r="K16" s="379"/>
      <c r="L16" s="379"/>
      <c r="M16" s="110" t="s">
        <v>7</v>
      </c>
      <c r="N16" s="147"/>
      <c r="O16" s="110" t="s">
        <v>3</v>
      </c>
      <c r="P16" s="147" t="s">
        <v>1222</v>
      </c>
      <c r="Q16" s="115"/>
      <c r="R16" s="109"/>
      <c r="S16" s="109"/>
      <c r="T16" s="111"/>
      <c r="U16" s="403" t="s">
        <v>4</v>
      </c>
      <c r="V16" s="403"/>
      <c r="W16" s="403"/>
      <c r="X16" s="109"/>
      <c r="Y16" s="109"/>
      <c r="Z16" s="109"/>
      <c r="AA16" s="109"/>
      <c r="AB16" s="404"/>
      <c r="AC16" s="404"/>
      <c r="AD16" s="404"/>
      <c r="AE16" s="404"/>
      <c r="AF16" s="404"/>
      <c r="AG16" s="404"/>
      <c r="AH16" s="404"/>
      <c r="AI16" s="404"/>
      <c r="AJ16" s="404"/>
      <c r="AK16" s="404"/>
      <c r="AL16" s="404"/>
      <c r="AM16" s="149"/>
      <c r="AN16" s="149"/>
      <c r="AO16" s="150"/>
      <c r="AP16" s="141"/>
      <c r="AS16" s="151"/>
    </row>
    <row r="17" spans="1:45" s="104" customFormat="1" ht="5.25" customHeight="1" x14ac:dyDescent="0.25">
      <c r="A17" s="108"/>
      <c r="B17" s="120"/>
      <c r="C17" s="7"/>
      <c r="D17" s="7"/>
      <c r="E17" s="7"/>
      <c r="F17" s="7"/>
      <c r="G17" s="7"/>
      <c r="H17" s="7"/>
      <c r="I17" s="7"/>
      <c r="J17" s="109"/>
      <c r="K17" s="109"/>
      <c r="L17" s="109"/>
      <c r="M17" s="109"/>
      <c r="N17" s="109"/>
      <c r="O17" s="109"/>
      <c r="P17" s="109"/>
      <c r="Q17" s="109"/>
      <c r="R17" s="109"/>
      <c r="S17" s="109"/>
      <c r="T17" s="109"/>
      <c r="U17" s="109"/>
      <c r="V17" s="109"/>
      <c r="W17" s="109"/>
      <c r="X17" s="109"/>
      <c r="Y17" s="109"/>
      <c r="Z17" s="109"/>
      <c r="AA17" s="109"/>
      <c r="AB17" s="109"/>
      <c r="AC17" s="109"/>
      <c r="AD17" s="109"/>
      <c r="AE17" s="109"/>
      <c r="AF17" s="109"/>
      <c r="AG17" s="109"/>
      <c r="AH17" s="109"/>
      <c r="AI17" s="109"/>
      <c r="AJ17" s="109"/>
      <c r="AK17" s="109"/>
      <c r="AL17" s="109"/>
      <c r="AM17" s="109"/>
      <c r="AN17" s="109"/>
      <c r="AO17" s="124"/>
      <c r="AP17" s="141"/>
    </row>
    <row r="18" spans="1:45" s="104" customFormat="1" ht="13.5" customHeight="1" x14ac:dyDescent="0.25">
      <c r="A18" s="108"/>
      <c r="B18" s="120"/>
      <c r="C18" s="379" t="s">
        <v>494</v>
      </c>
      <c r="D18" s="379"/>
      <c r="E18" s="379"/>
      <c r="F18" s="379"/>
      <c r="G18" s="379"/>
      <c r="H18" s="379"/>
      <c r="I18" s="379"/>
      <c r="J18" s="379"/>
      <c r="K18" s="379"/>
      <c r="L18" s="379"/>
      <c r="M18" s="379"/>
      <c r="N18" s="379"/>
      <c r="O18" s="7" t="s">
        <v>5</v>
      </c>
      <c r="P18" s="109"/>
      <c r="Q18" s="109"/>
      <c r="R18" s="405">
        <v>45306</v>
      </c>
      <c r="S18" s="405"/>
      <c r="T18" s="405"/>
      <c r="U18" s="405"/>
      <c r="V18" s="406" t="s">
        <v>6</v>
      </c>
      <c r="W18" s="406"/>
      <c r="X18" s="407">
        <v>45657</v>
      </c>
      <c r="Y18" s="407"/>
      <c r="Z18" s="407"/>
      <c r="AA18" s="407"/>
      <c r="AB18" s="407"/>
      <c r="AC18" s="152"/>
      <c r="AD18" s="400"/>
      <c r="AE18" s="400"/>
      <c r="AF18" s="400"/>
      <c r="AG18" s="400"/>
      <c r="AH18" s="400"/>
      <c r="AI18" s="378"/>
      <c r="AJ18" s="378"/>
      <c r="AK18" s="378"/>
      <c r="AL18" s="378"/>
      <c r="AM18" s="140"/>
      <c r="AN18" s="140"/>
      <c r="AO18" s="124"/>
      <c r="AP18" s="141"/>
    </row>
    <row r="19" spans="1:45" s="104" customFormat="1" ht="13.5" x14ac:dyDescent="0.25">
      <c r="A19" s="108"/>
      <c r="B19" s="120"/>
      <c r="C19" s="7"/>
      <c r="D19" s="7"/>
      <c r="E19" s="7"/>
      <c r="F19" s="7"/>
      <c r="G19" s="7"/>
      <c r="H19" s="7"/>
      <c r="I19" s="7"/>
      <c r="J19" s="109"/>
      <c r="K19" s="109"/>
      <c r="L19" s="109"/>
      <c r="M19" s="109"/>
      <c r="N19" s="109"/>
      <c r="O19" s="7"/>
      <c r="P19" s="109"/>
      <c r="Q19" s="109"/>
      <c r="R19" s="140"/>
      <c r="S19" s="140"/>
      <c r="T19" s="140"/>
      <c r="U19" s="140"/>
      <c r="V19" s="111"/>
      <c r="W19" s="11"/>
      <c r="X19" s="109"/>
      <c r="Y19" s="109"/>
      <c r="Z19" s="109"/>
      <c r="AA19" s="109"/>
      <c r="AB19" s="109"/>
      <c r="AC19" s="109"/>
      <c r="AD19" s="111"/>
      <c r="AE19" s="111"/>
      <c r="AF19" s="111"/>
      <c r="AG19" s="111"/>
      <c r="AH19" s="109"/>
      <c r="AI19" s="109"/>
      <c r="AJ19" s="109"/>
      <c r="AK19" s="109"/>
      <c r="AL19" s="109"/>
      <c r="AM19" s="109"/>
      <c r="AN19" s="109"/>
      <c r="AO19" s="124"/>
      <c r="AP19" s="141"/>
    </row>
    <row r="20" spans="1:45" s="104" customFormat="1" ht="13.5" x14ac:dyDescent="0.25">
      <c r="A20" s="108"/>
      <c r="B20" s="120"/>
      <c r="C20" s="379" t="s">
        <v>36</v>
      </c>
      <c r="D20" s="379"/>
      <c r="E20" s="379"/>
      <c r="F20" s="379"/>
      <c r="G20" s="379"/>
      <c r="H20" s="379"/>
      <c r="I20" s="379"/>
      <c r="J20" s="391" t="str">
        <f>+AH2</f>
        <v>2</v>
      </c>
      <c r="K20" s="391"/>
      <c r="L20" s="109"/>
      <c r="M20" s="13" t="s">
        <v>18</v>
      </c>
      <c r="N20" s="109"/>
      <c r="O20" s="153">
        <v>12</v>
      </c>
      <c r="P20" s="384" t="s">
        <v>493</v>
      </c>
      <c r="Q20" s="384"/>
      <c r="R20" s="384"/>
      <c r="S20" s="384"/>
      <c r="T20" s="384"/>
      <c r="U20" s="384"/>
      <c r="V20" s="384"/>
      <c r="W20" s="380">
        <f>J20-1</f>
        <v>1</v>
      </c>
      <c r="X20" s="380"/>
      <c r="Y20" s="380"/>
      <c r="Z20" s="109"/>
      <c r="AA20" s="109"/>
      <c r="AB20" s="111" t="s">
        <v>1243</v>
      </c>
      <c r="AC20" s="111"/>
      <c r="AD20" s="111"/>
      <c r="AE20" s="111"/>
      <c r="AF20" s="371" t="str">
        <f>IF(AH2="","",AH2)</f>
        <v>2</v>
      </c>
      <c r="AG20" s="371"/>
      <c r="AH20" s="371"/>
      <c r="AI20" s="371"/>
      <c r="AJ20" s="371"/>
      <c r="AK20" s="109"/>
      <c r="AL20" s="109"/>
      <c r="AM20" s="155"/>
      <c r="AN20" s="155"/>
      <c r="AO20" s="124"/>
      <c r="AP20" s="141"/>
    </row>
    <row r="21" spans="1:45" s="104" customFormat="1" ht="5.25" customHeight="1" x14ac:dyDescent="0.25">
      <c r="A21" s="108"/>
      <c r="B21" s="120"/>
      <c r="C21" s="7"/>
      <c r="D21" s="7"/>
      <c r="E21" s="7"/>
      <c r="F21" s="7"/>
      <c r="G21" s="7"/>
      <c r="H21" s="7"/>
      <c r="I21" s="7"/>
      <c r="J21" s="109"/>
      <c r="K21" s="109"/>
      <c r="L21" s="109"/>
      <c r="M21" s="109"/>
      <c r="N21" s="109"/>
      <c r="O21" s="109"/>
      <c r="P21" s="109"/>
      <c r="Q21" s="109"/>
      <c r="R21" s="140"/>
      <c r="S21" s="140"/>
      <c r="T21" s="140"/>
      <c r="U21" s="140"/>
      <c r="V21" s="140"/>
      <c r="W21" s="7"/>
      <c r="X21" s="109"/>
      <c r="Y21" s="109"/>
      <c r="Z21" s="109"/>
      <c r="AA21" s="109"/>
      <c r="AB21" s="109"/>
      <c r="AC21" s="109"/>
      <c r="AD21" s="140"/>
      <c r="AE21" s="140"/>
      <c r="AF21" s="140"/>
      <c r="AG21" s="140"/>
      <c r="AH21" s="109"/>
      <c r="AI21" s="109"/>
      <c r="AJ21" s="109"/>
      <c r="AK21" s="109"/>
      <c r="AL21" s="109"/>
      <c r="AM21" s="109"/>
      <c r="AN21" s="109"/>
      <c r="AO21" s="124"/>
      <c r="AP21" s="141"/>
    </row>
    <row r="22" spans="1:45" s="104" customFormat="1" ht="4.5" customHeight="1" x14ac:dyDescent="0.25">
      <c r="A22" s="108"/>
      <c r="B22" s="130"/>
      <c r="C22" s="18"/>
      <c r="D22" s="18"/>
      <c r="E22" s="18"/>
      <c r="F22" s="18"/>
      <c r="G22" s="18"/>
      <c r="H22" s="18"/>
      <c r="I22" s="18"/>
      <c r="J22" s="153"/>
      <c r="K22" s="153"/>
      <c r="L22" s="156"/>
      <c r="M22" s="22"/>
      <c r="N22" s="153"/>
      <c r="O22" s="153"/>
      <c r="P22" s="156"/>
      <c r="Q22" s="156"/>
      <c r="R22" s="157"/>
      <c r="S22" s="157"/>
      <c r="T22" s="157"/>
      <c r="U22" s="157"/>
      <c r="V22" s="157"/>
      <c r="W22" s="157"/>
      <c r="X22" s="157"/>
      <c r="Y22" s="157"/>
      <c r="Z22" s="157"/>
      <c r="AA22" s="157"/>
      <c r="AB22" s="157"/>
      <c r="AC22" s="157"/>
      <c r="AD22" s="157"/>
      <c r="AE22" s="157"/>
      <c r="AF22" s="157"/>
      <c r="AG22" s="157"/>
      <c r="AH22" s="157"/>
      <c r="AI22" s="157"/>
      <c r="AJ22" s="157"/>
      <c r="AK22" s="157"/>
      <c r="AL22" s="157"/>
      <c r="AM22" s="157"/>
      <c r="AN22" s="157"/>
      <c r="AO22" s="158"/>
      <c r="AP22" s="141"/>
    </row>
    <row r="23" spans="1:45" s="104" customFormat="1" ht="8.25" customHeight="1" x14ac:dyDescent="0.25">
      <c r="A23" s="108"/>
      <c r="B23" s="109"/>
      <c r="C23" s="7"/>
      <c r="D23" s="7"/>
      <c r="E23" s="7"/>
      <c r="F23" s="7"/>
      <c r="G23" s="7"/>
      <c r="H23" s="7"/>
      <c r="I23" s="7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  <c r="V23" s="109"/>
      <c r="W23" s="109"/>
      <c r="X23" s="109"/>
      <c r="Y23" s="109"/>
      <c r="Z23" s="109"/>
      <c r="AA23" s="109"/>
      <c r="AB23" s="109"/>
      <c r="AC23" s="109"/>
      <c r="AD23" s="109"/>
      <c r="AE23" s="109"/>
      <c r="AF23" s="109"/>
      <c r="AG23" s="109"/>
      <c r="AH23" s="109"/>
      <c r="AI23" s="109"/>
      <c r="AJ23" s="109"/>
      <c r="AK23" s="109"/>
      <c r="AL23" s="109"/>
      <c r="AM23" s="109"/>
      <c r="AN23" s="109"/>
      <c r="AO23" s="109"/>
      <c r="AP23" s="141"/>
    </row>
    <row r="24" spans="1:45" s="104" customFormat="1" ht="6" customHeight="1" x14ac:dyDescent="0.25">
      <c r="A24" s="108"/>
      <c r="B24" s="109"/>
      <c r="C24" s="7"/>
      <c r="D24" s="7"/>
      <c r="E24" s="7"/>
      <c r="F24" s="7"/>
      <c r="G24" s="7"/>
      <c r="H24" s="7"/>
      <c r="I24" s="7"/>
      <c r="J24" s="109"/>
      <c r="K24" s="109"/>
      <c r="L24" s="109"/>
      <c r="M24" s="109"/>
      <c r="N24" s="109"/>
      <c r="O24" s="109"/>
      <c r="P24" s="109"/>
      <c r="Q24" s="109"/>
      <c r="R24" s="109"/>
      <c r="S24" s="109"/>
      <c r="T24" s="109"/>
      <c r="U24" s="109"/>
      <c r="V24" s="109"/>
      <c r="W24" s="109"/>
      <c r="X24" s="109"/>
      <c r="Y24" s="109"/>
      <c r="Z24" s="109"/>
      <c r="AA24" s="109"/>
      <c r="AB24" s="109"/>
      <c r="AC24" s="109"/>
      <c r="AD24" s="109"/>
      <c r="AE24" s="109"/>
      <c r="AF24" s="109"/>
      <c r="AG24" s="109"/>
      <c r="AH24" s="109"/>
      <c r="AI24" s="109"/>
      <c r="AJ24" s="109"/>
      <c r="AK24" s="109"/>
      <c r="AL24" s="109"/>
      <c r="AM24" s="109"/>
      <c r="AN24" s="109"/>
      <c r="AO24" s="109"/>
      <c r="AP24" s="141"/>
    </row>
    <row r="25" spans="1:45" s="104" customFormat="1" ht="6" customHeight="1" x14ac:dyDescent="0.25">
      <c r="A25" s="108"/>
      <c r="B25" s="117"/>
      <c r="C25" s="118"/>
      <c r="D25" s="118"/>
      <c r="E25" s="118"/>
      <c r="F25" s="118"/>
      <c r="G25" s="118"/>
      <c r="H25" s="118"/>
      <c r="I25" s="118"/>
      <c r="J25" s="118"/>
      <c r="K25" s="118"/>
      <c r="L25" s="118"/>
      <c r="M25" s="118"/>
      <c r="N25" s="118"/>
      <c r="O25" s="118"/>
      <c r="P25" s="118"/>
      <c r="Q25" s="118"/>
      <c r="R25" s="118"/>
      <c r="S25" s="118"/>
      <c r="T25" s="118"/>
      <c r="U25" s="118"/>
      <c r="V25" s="118"/>
      <c r="W25" s="118"/>
      <c r="X25" s="118"/>
      <c r="Y25" s="118"/>
      <c r="Z25" s="118"/>
      <c r="AA25" s="118"/>
      <c r="AB25" s="118"/>
      <c r="AC25" s="118"/>
      <c r="AD25" s="118"/>
      <c r="AE25" s="118"/>
      <c r="AF25" s="118"/>
      <c r="AG25" s="118"/>
      <c r="AH25" s="118"/>
      <c r="AI25" s="118"/>
      <c r="AJ25" s="118"/>
      <c r="AK25" s="118"/>
      <c r="AL25" s="118"/>
      <c r="AM25" s="118"/>
      <c r="AN25" s="118"/>
      <c r="AO25" s="119"/>
      <c r="AP25" s="141"/>
    </row>
    <row r="26" spans="1:45" s="104" customFormat="1" ht="6.75" customHeight="1" x14ac:dyDescent="0.25">
      <c r="A26" s="108"/>
      <c r="B26" s="120"/>
      <c r="C26" s="117"/>
      <c r="D26" s="159"/>
      <c r="E26" s="159"/>
      <c r="F26" s="159"/>
      <c r="G26" s="159"/>
      <c r="H26" s="160"/>
      <c r="I26" s="161"/>
      <c r="J26" s="161"/>
      <c r="K26" s="161"/>
      <c r="L26" s="161"/>
      <c r="M26" s="161"/>
      <c r="N26" s="118"/>
      <c r="O26" s="162"/>
      <c r="P26" s="162"/>
      <c r="Q26" s="162"/>
      <c r="R26" s="162"/>
      <c r="S26" s="162"/>
      <c r="T26" s="144"/>
      <c r="U26" s="118"/>
      <c r="V26" s="118"/>
      <c r="W26" s="118"/>
      <c r="X26" s="118"/>
      <c r="Y26" s="118"/>
      <c r="Z26" s="118"/>
      <c r="AA26" s="118"/>
      <c r="AB26" s="162"/>
      <c r="AC26" s="162"/>
      <c r="AD26" s="162"/>
      <c r="AE26" s="144"/>
      <c r="AF26" s="118"/>
      <c r="AG26" s="118"/>
      <c r="AH26" s="162"/>
      <c r="AI26" s="162"/>
      <c r="AJ26" s="162"/>
      <c r="AK26" s="162"/>
      <c r="AL26" s="162"/>
      <c r="AM26" s="163"/>
      <c r="AN26" s="164"/>
      <c r="AO26" s="165"/>
      <c r="AP26" s="141"/>
    </row>
    <row r="27" spans="1:45" s="104" customFormat="1" ht="23.25" customHeight="1" x14ac:dyDescent="0.25">
      <c r="A27" s="108"/>
      <c r="B27" s="120"/>
      <c r="C27" s="381" t="s">
        <v>595</v>
      </c>
      <c r="D27" s="382"/>
      <c r="E27" s="382"/>
      <c r="F27" s="382"/>
      <c r="G27" s="382"/>
      <c r="H27" s="167"/>
      <c r="J27" s="383" t="s">
        <v>582</v>
      </c>
      <c r="K27" s="383"/>
      <c r="L27" s="383"/>
      <c r="M27" s="383"/>
      <c r="N27" s="168"/>
      <c r="O27" s="370" t="s">
        <v>1279</v>
      </c>
      <c r="P27" s="370"/>
      <c r="Q27" s="370"/>
      <c r="R27" s="370"/>
      <c r="S27" s="170"/>
      <c r="T27" s="370" t="s">
        <v>583</v>
      </c>
      <c r="U27" s="370"/>
      <c r="V27" s="370"/>
      <c r="W27" s="370"/>
      <c r="X27" s="112"/>
      <c r="Y27" s="168"/>
      <c r="Z27" s="168"/>
      <c r="AA27" s="370" t="s">
        <v>1246</v>
      </c>
      <c r="AB27" s="370"/>
      <c r="AC27" s="370"/>
      <c r="AD27" s="370"/>
      <c r="AE27" s="370"/>
      <c r="AF27" s="109"/>
      <c r="AG27" s="168"/>
      <c r="AH27" s="109"/>
      <c r="AI27" s="109"/>
      <c r="AJ27" s="109"/>
      <c r="AK27" s="109"/>
      <c r="AL27" s="109"/>
      <c r="AM27" s="171"/>
      <c r="AN27" s="115"/>
      <c r="AO27" s="165"/>
      <c r="AP27" s="141"/>
    </row>
    <row r="28" spans="1:45" s="104" customFormat="1" ht="25.5" customHeight="1" x14ac:dyDescent="0.25">
      <c r="A28" s="108"/>
      <c r="B28" s="120"/>
      <c r="C28" s="381"/>
      <c r="D28" s="382"/>
      <c r="E28" s="382"/>
      <c r="F28" s="382"/>
      <c r="G28" s="382"/>
      <c r="H28" s="167"/>
      <c r="I28" s="110"/>
      <c r="J28" s="388">
        <v>42000000</v>
      </c>
      <c r="K28" s="389"/>
      <c r="L28" s="389"/>
      <c r="M28" s="390"/>
      <c r="N28" s="109"/>
      <c r="O28" s="396"/>
      <c r="P28" s="397"/>
      <c r="Q28" s="397"/>
      <c r="R28" s="398"/>
      <c r="S28" s="172"/>
      <c r="T28" s="385">
        <f>J28+O28</f>
        <v>42000000</v>
      </c>
      <c r="U28" s="386"/>
      <c r="V28" s="386"/>
      <c r="W28" s="387"/>
      <c r="Y28" s="109"/>
      <c r="Z28" s="109"/>
      <c r="AA28" s="393">
        <v>3500000</v>
      </c>
      <c r="AB28" s="394"/>
      <c r="AC28" s="394"/>
      <c r="AD28" s="394"/>
      <c r="AE28" s="395"/>
      <c r="AF28" s="109"/>
      <c r="AG28" s="109"/>
      <c r="AH28" s="109"/>
      <c r="AI28" s="109"/>
      <c r="AJ28" s="109"/>
      <c r="AK28" s="109"/>
      <c r="AL28" s="109"/>
      <c r="AM28" s="173"/>
      <c r="AN28" s="174"/>
      <c r="AO28" s="175"/>
      <c r="AP28" s="141"/>
      <c r="AQ28" s="176"/>
      <c r="AS28" s="176"/>
    </row>
    <row r="29" spans="1:45" s="104" customFormat="1" ht="3" customHeight="1" x14ac:dyDescent="0.25">
      <c r="A29" s="108"/>
      <c r="B29" s="120"/>
      <c r="C29" s="130"/>
      <c r="D29" s="157"/>
      <c r="E29" s="157"/>
      <c r="F29" s="157"/>
      <c r="G29" s="157"/>
      <c r="H29" s="157"/>
      <c r="I29" s="157"/>
      <c r="J29" s="157"/>
      <c r="K29" s="157"/>
      <c r="L29" s="157"/>
      <c r="M29" s="157"/>
      <c r="N29" s="157"/>
      <c r="O29" s="157"/>
      <c r="P29" s="157"/>
      <c r="Q29" s="157"/>
      <c r="R29" s="157"/>
      <c r="S29" s="157"/>
      <c r="T29" s="157"/>
      <c r="U29" s="157"/>
      <c r="V29" s="157"/>
      <c r="W29" s="157"/>
      <c r="X29" s="157"/>
      <c r="Y29" s="157"/>
      <c r="Z29" s="157"/>
      <c r="AA29" s="361"/>
      <c r="AB29" s="361"/>
      <c r="AC29" s="361"/>
      <c r="AD29" s="361"/>
      <c r="AE29" s="361"/>
      <c r="AF29" s="361"/>
      <c r="AG29" s="157"/>
      <c r="AH29" s="361"/>
      <c r="AI29" s="361"/>
      <c r="AJ29" s="361"/>
      <c r="AK29" s="361"/>
      <c r="AL29" s="361"/>
      <c r="AM29" s="158"/>
      <c r="AN29" s="109"/>
      <c r="AO29" s="124"/>
      <c r="AP29" s="141"/>
    </row>
    <row r="30" spans="1:45" s="104" customFormat="1" ht="9.75" customHeight="1" x14ac:dyDescent="0.25">
      <c r="A30" s="108"/>
      <c r="B30" s="120"/>
      <c r="C30" s="109"/>
      <c r="D30" s="109"/>
      <c r="E30" s="109"/>
      <c r="F30" s="109"/>
      <c r="G30" s="109"/>
      <c r="H30" s="109"/>
      <c r="I30" s="109"/>
      <c r="J30" s="378"/>
      <c r="K30" s="378"/>
      <c r="L30" s="378"/>
      <c r="M30" s="378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15"/>
      <c r="AB30" s="115"/>
      <c r="AC30" s="115"/>
      <c r="AD30" s="115"/>
      <c r="AE30" s="115"/>
      <c r="AF30" s="115"/>
      <c r="AG30" s="109"/>
      <c r="AH30" s="115"/>
      <c r="AI30" s="115"/>
      <c r="AJ30" s="115"/>
      <c r="AK30" s="115"/>
      <c r="AL30" s="115"/>
      <c r="AM30" s="109"/>
      <c r="AN30" s="109"/>
      <c r="AO30" s="124"/>
      <c r="AP30" s="141"/>
    </row>
    <row r="31" spans="1:45" s="104" customFormat="1" ht="12.75" customHeight="1" x14ac:dyDescent="0.25">
      <c r="A31" s="108"/>
      <c r="B31" s="120"/>
      <c r="C31" s="441" t="s">
        <v>1244</v>
      </c>
      <c r="D31" s="442"/>
      <c r="E31" s="442"/>
      <c r="F31" s="442"/>
      <c r="G31" s="442"/>
      <c r="H31" s="118"/>
      <c r="I31" s="118"/>
      <c r="J31" s="399" t="s">
        <v>587</v>
      </c>
      <c r="K31" s="399"/>
      <c r="L31" s="399"/>
      <c r="M31" s="399"/>
      <c r="N31" s="399" t="s">
        <v>586</v>
      </c>
      <c r="O31" s="399"/>
      <c r="P31" s="399"/>
      <c r="Q31" s="399"/>
      <c r="R31" s="399" t="s">
        <v>588</v>
      </c>
      <c r="S31" s="399"/>
      <c r="T31" s="399"/>
      <c r="U31" s="399"/>
      <c r="V31" s="445" t="s">
        <v>589</v>
      </c>
      <c r="W31" s="445"/>
      <c r="X31" s="445"/>
      <c r="Y31" s="445"/>
      <c r="Z31" s="399" t="s">
        <v>590</v>
      </c>
      <c r="AA31" s="399"/>
      <c r="AB31" s="399"/>
      <c r="AC31" s="399"/>
      <c r="AD31" s="399"/>
      <c r="AE31" s="392" t="s">
        <v>591</v>
      </c>
      <c r="AF31" s="392"/>
      <c r="AG31" s="392"/>
      <c r="AH31" s="392"/>
      <c r="AI31" s="392" t="s">
        <v>592</v>
      </c>
      <c r="AJ31" s="392"/>
      <c r="AK31" s="392"/>
      <c r="AL31" s="392"/>
      <c r="AM31" s="119"/>
      <c r="AN31" s="109"/>
      <c r="AO31" s="124"/>
      <c r="AP31" s="141"/>
    </row>
    <row r="32" spans="1:45" s="104" customFormat="1" ht="9.75" customHeight="1" x14ac:dyDescent="0.25">
      <c r="A32" s="108"/>
      <c r="B32" s="120"/>
      <c r="C32" s="381"/>
      <c r="D32" s="382"/>
      <c r="E32" s="382"/>
      <c r="F32" s="382"/>
      <c r="G32" s="382"/>
      <c r="H32" s="109"/>
      <c r="I32" s="109"/>
      <c r="J32" s="372">
        <v>3500000</v>
      </c>
      <c r="K32" s="373"/>
      <c r="L32" s="373"/>
      <c r="M32" s="374"/>
      <c r="N32" s="372"/>
      <c r="O32" s="373"/>
      <c r="P32" s="373"/>
      <c r="Q32" s="374"/>
      <c r="R32" s="372"/>
      <c r="S32" s="373"/>
      <c r="T32" s="373"/>
      <c r="U32" s="374"/>
      <c r="V32" s="372">
        <v>0</v>
      </c>
      <c r="W32" s="373"/>
      <c r="X32" s="373"/>
      <c r="Y32" s="374"/>
      <c r="Z32" s="372">
        <v>0</v>
      </c>
      <c r="AA32" s="373"/>
      <c r="AB32" s="373"/>
      <c r="AC32" s="373"/>
      <c r="AD32" s="373"/>
      <c r="AE32" s="372">
        <v>0</v>
      </c>
      <c r="AF32" s="373"/>
      <c r="AG32" s="373"/>
      <c r="AH32" s="374"/>
      <c r="AI32" s="372">
        <v>0</v>
      </c>
      <c r="AJ32" s="373"/>
      <c r="AK32" s="373"/>
      <c r="AL32" s="374"/>
      <c r="AM32" s="178"/>
      <c r="AN32" s="109"/>
      <c r="AO32" s="124"/>
      <c r="AP32" s="141"/>
    </row>
    <row r="33" spans="1:43" s="104" customFormat="1" ht="9.75" customHeight="1" x14ac:dyDescent="0.25">
      <c r="A33" s="108"/>
      <c r="B33" s="120"/>
      <c r="C33" s="381"/>
      <c r="D33" s="382"/>
      <c r="E33" s="382"/>
      <c r="F33" s="382"/>
      <c r="G33" s="382"/>
      <c r="H33" s="109"/>
      <c r="I33" s="109"/>
      <c r="J33" s="375"/>
      <c r="K33" s="376"/>
      <c r="L33" s="376"/>
      <c r="M33" s="377"/>
      <c r="N33" s="375"/>
      <c r="O33" s="376"/>
      <c r="P33" s="376"/>
      <c r="Q33" s="377"/>
      <c r="R33" s="375"/>
      <c r="S33" s="376"/>
      <c r="T33" s="376"/>
      <c r="U33" s="377"/>
      <c r="V33" s="375"/>
      <c r="W33" s="376"/>
      <c r="X33" s="376"/>
      <c r="Y33" s="377"/>
      <c r="Z33" s="375"/>
      <c r="AA33" s="376"/>
      <c r="AB33" s="376"/>
      <c r="AC33" s="376"/>
      <c r="AD33" s="376"/>
      <c r="AE33" s="375"/>
      <c r="AF33" s="376"/>
      <c r="AG33" s="376"/>
      <c r="AH33" s="377"/>
      <c r="AI33" s="375"/>
      <c r="AJ33" s="376"/>
      <c r="AK33" s="376"/>
      <c r="AL33" s="377"/>
      <c r="AM33" s="178"/>
      <c r="AN33" s="109"/>
      <c r="AO33" s="124"/>
      <c r="AP33" s="141"/>
    </row>
    <row r="34" spans="1:43" s="104" customFormat="1" ht="6" customHeight="1" x14ac:dyDescent="0.25">
      <c r="A34" s="108"/>
      <c r="B34" s="120"/>
      <c r="C34" s="381"/>
      <c r="D34" s="382"/>
      <c r="E34" s="382"/>
      <c r="F34" s="382"/>
      <c r="G34" s="382"/>
      <c r="H34" s="109"/>
      <c r="I34" s="109"/>
      <c r="J34" s="179"/>
      <c r="K34" s="179"/>
      <c r="L34" s="179"/>
      <c r="M34" s="179"/>
      <c r="N34" s="179"/>
      <c r="O34" s="179"/>
      <c r="P34" s="179"/>
      <c r="Q34" s="179"/>
      <c r="R34" s="179"/>
      <c r="S34" s="179"/>
      <c r="T34" s="179"/>
      <c r="U34" s="179"/>
      <c r="V34" s="179"/>
      <c r="W34" s="179"/>
      <c r="X34" s="179"/>
      <c r="Y34" s="179"/>
      <c r="Z34" s="179"/>
      <c r="AA34" s="179"/>
      <c r="AB34" s="179"/>
      <c r="AC34" s="179"/>
      <c r="AD34" s="179"/>
      <c r="AE34" s="179"/>
      <c r="AF34" s="179"/>
      <c r="AG34" s="179"/>
      <c r="AH34" s="179"/>
      <c r="AI34" s="179"/>
      <c r="AJ34" s="179"/>
      <c r="AK34" s="179"/>
      <c r="AL34" s="179"/>
      <c r="AM34" s="178"/>
      <c r="AN34" s="109"/>
      <c r="AO34" s="124"/>
      <c r="AP34" s="141"/>
    </row>
    <row r="35" spans="1:43" s="104" customFormat="1" ht="11.25" customHeight="1" x14ac:dyDescent="0.25">
      <c r="A35" s="108"/>
      <c r="B35" s="120"/>
      <c r="C35" s="381"/>
      <c r="D35" s="382"/>
      <c r="E35" s="382"/>
      <c r="F35" s="382"/>
      <c r="G35" s="382"/>
      <c r="H35" s="109"/>
      <c r="I35" s="109"/>
      <c r="J35" s="444" t="s">
        <v>593</v>
      </c>
      <c r="K35" s="444"/>
      <c r="L35" s="444"/>
      <c r="M35" s="444"/>
      <c r="N35" s="444" t="s">
        <v>594</v>
      </c>
      <c r="O35" s="444"/>
      <c r="P35" s="444"/>
      <c r="Q35" s="444"/>
      <c r="R35" s="444" t="s">
        <v>663</v>
      </c>
      <c r="S35" s="444"/>
      <c r="T35" s="444"/>
      <c r="U35" s="444"/>
      <c r="V35" s="444" t="s">
        <v>664</v>
      </c>
      <c r="W35" s="444"/>
      <c r="X35" s="444"/>
      <c r="Y35" s="444"/>
      <c r="Z35" s="376" t="s">
        <v>665</v>
      </c>
      <c r="AA35" s="376"/>
      <c r="AB35" s="376"/>
      <c r="AC35" s="376"/>
      <c r="AD35" s="376"/>
      <c r="AE35" s="444" t="s">
        <v>666</v>
      </c>
      <c r="AF35" s="444"/>
      <c r="AG35" s="444"/>
      <c r="AH35" s="444"/>
      <c r="AI35" s="444" t="s">
        <v>667</v>
      </c>
      <c r="AJ35" s="444"/>
      <c r="AK35" s="444"/>
      <c r="AL35" s="444"/>
      <c r="AM35" s="178"/>
      <c r="AN35" s="109"/>
      <c r="AO35" s="124"/>
      <c r="AP35" s="141"/>
    </row>
    <row r="36" spans="1:43" s="104" customFormat="1" ht="19.5" customHeight="1" x14ac:dyDescent="0.25">
      <c r="A36" s="108"/>
      <c r="B36" s="120"/>
      <c r="C36" s="381"/>
      <c r="D36" s="382"/>
      <c r="E36" s="382"/>
      <c r="F36" s="382"/>
      <c r="G36" s="382"/>
      <c r="H36" s="109"/>
      <c r="I36" s="109"/>
      <c r="J36" s="440">
        <v>0</v>
      </c>
      <c r="K36" s="440"/>
      <c r="L36" s="440"/>
      <c r="M36" s="440"/>
      <c r="N36" s="440">
        <v>0</v>
      </c>
      <c r="O36" s="440"/>
      <c r="P36" s="440"/>
      <c r="Q36" s="440"/>
      <c r="R36" s="440">
        <v>0</v>
      </c>
      <c r="S36" s="440"/>
      <c r="T36" s="440"/>
      <c r="U36" s="440"/>
      <c r="V36" s="440">
        <v>0</v>
      </c>
      <c r="W36" s="440"/>
      <c r="X36" s="440"/>
      <c r="Y36" s="440"/>
      <c r="Z36" s="440">
        <v>0</v>
      </c>
      <c r="AA36" s="440"/>
      <c r="AB36" s="440"/>
      <c r="AC36" s="440"/>
      <c r="AD36" s="440"/>
      <c r="AE36" s="440">
        <v>0</v>
      </c>
      <c r="AF36" s="440"/>
      <c r="AG36" s="440"/>
      <c r="AH36" s="440"/>
      <c r="AI36" s="440">
        <v>0</v>
      </c>
      <c r="AJ36" s="440"/>
      <c r="AK36" s="440"/>
      <c r="AL36" s="440"/>
      <c r="AM36" s="178"/>
      <c r="AN36" s="109"/>
      <c r="AO36" s="124"/>
      <c r="AP36" s="141"/>
      <c r="AQ36" s="151"/>
    </row>
    <row r="37" spans="1:43" s="104" customFormat="1" ht="3" customHeight="1" x14ac:dyDescent="0.25">
      <c r="A37" s="108"/>
      <c r="B37" s="120"/>
      <c r="C37" s="443"/>
      <c r="D37" s="419"/>
      <c r="E37" s="419"/>
      <c r="F37" s="419"/>
      <c r="G37" s="419"/>
      <c r="H37" s="157"/>
      <c r="I37" s="157"/>
      <c r="J37" s="157"/>
      <c r="K37" s="157"/>
      <c r="L37" s="157"/>
      <c r="M37" s="157"/>
      <c r="N37" s="153"/>
      <c r="O37" s="153"/>
      <c r="P37" s="153"/>
      <c r="Q37" s="153"/>
      <c r="R37" s="153"/>
      <c r="S37" s="153"/>
      <c r="T37" s="153"/>
      <c r="U37" s="153"/>
      <c r="V37" s="157"/>
      <c r="W37" s="157"/>
      <c r="X37" s="157"/>
      <c r="Y37" s="157"/>
      <c r="Z37" s="157"/>
      <c r="AA37" s="154"/>
      <c r="AB37" s="154"/>
      <c r="AC37" s="154"/>
      <c r="AD37" s="154"/>
      <c r="AE37" s="154"/>
      <c r="AF37" s="154"/>
      <c r="AG37" s="157"/>
      <c r="AH37" s="154"/>
      <c r="AI37" s="154"/>
      <c r="AJ37" s="154"/>
      <c r="AK37" s="154"/>
      <c r="AL37" s="154"/>
      <c r="AM37" s="158"/>
      <c r="AN37" s="109"/>
      <c r="AO37" s="124"/>
      <c r="AP37" s="141"/>
    </row>
    <row r="38" spans="1:43" s="104" customFormat="1" ht="9.75" customHeight="1" thickBot="1" x14ac:dyDescent="0.3">
      <c r="A38" s="108"/>
      <c r="B38" s="120"/>
      <c r="C38" s="109"/>
      <c r="D38" s="109"/>
      <c r="E38" s="109"/>
      <c r="F38" s="109"/>
      <c r="G38" s="109"/>
      <c r="H38" s="109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  <c r="V38" s="109"/>
      <c r="W38" s="109"/>
      <c r="X38" s="109"/>
      <c r="Y38" s="109"/>
      <c r="Z38" s="109"/>
      <c r="AA38" s="115"/>
      <c r="AB38" s="115"/>
      <c r="AC38" s="115"/>
      <c r="AD38" s="115"/>
      <c r="AE38" s="115"/>
      <c r="AF38" s="115"/>
      <c r="AG38" s="109"/>
      <c r="AH38" s="115"/>
      <c r="AI38" s="115"/>
      <c r="AJ38" s="115"/>
      <c r="AK38" s="115"/>
      <c r="AL38" s="115"/>
      <c r="AM38" s="109"/>
      <c r="AN38" s="109"/>
      <c r="AO38" s="124"/>
      <c r="AP38" s="141"/>
    </row>
    <row r="39" spans="1:43" s="104" customFormat="1" ht="9.75" customHeight="1" x14ac:dyDescent="0.25">
      <c r="A39" s="108"/>
      <c r="B39" s="120"/>
      <c r="C39" s="529" t="s">
        <v>1245</v>
      </c>
      <c r="D39" s="530"/>
      <c r="E39" s="530"/>
      <c r="F39" s="530"/>
      <c r="G39" s="531"/>
      <c r="H39" s="16"/>
      <c r="I39" s="111"/>
      <c r="J39" s="111"/>
      <c r="K39" s="111"/>
      <c r="L39" s="111"/>
      <c r="M39" s="111"/>
      <c r="N39" s="111"/>
      <c r="O39" s="111"/>
      <c r="P39" s="111"/>
      <c r="Q39" s="111"/>
      <c r="R39" s="111"/>
      <c r="S39" s="111"/>
      <c r="T39" s="111"/>
      <c r="U39" s="111"/>
      <c r="V39" s="111"/>
      <c r="W39" s="111"/>
      <c r="X39" s="111"/>
      <c r="Y39" s="111"/>
      <c r="Z39" s="111"/>
      <c r="AA39" s="111"/>
      <c r="AB39" s="111"/>
      <c r="AC39" s="111"/>
      <c r="AD39" s="111"/>
      <c r="AE39" s="111"/>
      <c r="AF39" s="455">
        <f>SUM(J32:AL33,J36:AL36)</f>
        <v>3500000</v>
      </c>
      <c r="AG39" s="456"/>
      <c r="AH39" s="456"/>
      <c r="AI39" s="456"/>
      <c r="AJ39" s="456"/>
      <c r="AK39" s="456"/>
      <c r="AL39" s="456"/>
      <c r="AM39" s="535"/>
      <c r="AN39" s="112"/>
      <c r="AO39" s="180"/>
      <c r="AP39" s="141"/>
    </row>
    <row r="40" spans="1:43" s="104" customFormat="1" ht="15" customHeight="1" thickBot="1" x14ac:dyDescent="0.3">
      <c r="A40" s="108"/>
      <c r="B40" s="120"/>
      <c r="C40" s="532"/>
      <c r="D40" s="533"/>
      <c r="E40" s="533"/>
      <c r="F40" s="533"/>
      <c r="G40" s="534"/>
      <c r="H40" s="16"/>
      <c r="I40" s="109"/>
      <c r="J40" s="111"/>
      <c r="K40" s="111"/>
      <c r="L40" s="111"/>
      <c r="M40" s="111"/>
      <c r="N40" s="111"/>
      <c r="O40" s="111"/>
      <c r="P40" s="111"/>
      <c r="Q40" s="111"/>
      <c r="R40" s="111"/>
      <c r="S40" s="111"/>
      <c r="T40" s="111"/>
      <c r="U40" s="111"/>
      <c r="V40" s="111"/>
      <c r="W40" s="111"/>
      <c r="X40" s="111"/>
      <c r="Y40" s="111"/>
      <c r="Z40" s="111"/>
      <c r="AA40" s="111"/>
      <c r="AB40" s="111"/>
      <c r="AC40" s="111"/>
      <c r="AD40" s="111"/>
      <c r="AE40" s="111"/>
      <c r="AF40" s="457"/>
      <c r="AG40" s="458"/>
      <c r="AH40" s="458"/>
      <c r="AI40" s="458"/>
      <c r="AJ40" s="458"/>
      <c r="AK40" s="458"/>
      <c r="AL40" s="458"/>
      <c r="AM40" s="536"/>
      <c r="AN40" s="112"/>
      <c r="AO40" s="180"/>
      <c r="AP40" s="141"/>
      <c r="AQ40" s="181"/>
    </row>
    <row r="41" spans="1:43" s="104" customFormat="1" ht="6" customHeight="1" thickBot="1" x14ac:dyDescent="0.3">
      <c r="A41" s="108"/>
      <c r="B41" s="120"/>
      <c r="C41" s="182"/>
      <c r="D41" s="182"/>
      <c r="E41" s="182"/>
      <c r="F41" s="182"/>
      <c r="G41" s="182"/>
      <c r="H41" s="109"/>
      <c r="I41" s="109"/>
      <c r="J41" s="183"/>
      <c r="K41" s="183"/>
      <c r="L41" s="183"/>
      <c r="M41" s="183"/>
      <c r="N41" s="183"/>
      <c r="O41" s="183"/>
      <c r="P41" s="183"/>
      <c r="Q41" s="183"/>
      <c r="R41" s="183"/>
      <c r="S41" s="183"/>
      <c r="T41" s="183"/>
      <c r="U41" s="183"/>
      <c r="V41" s="183"/>
      <c r="W41" s="183"/>
      <c r="X41" s="183"/>
      <c r="Y41" s="183"/>
      <c r="Z41" s="183"/>
      <c r="AA41" s="183"/>
      <c r="AB41" s="183"/>
      <c r="AC41" s="183"/>
      <c r="AD41" s="183"/>
      <c r="AE41" s="183"/>
      <c r="AF41" s="183"/>
      <c r="AG41" s="183"/>
      <c r="AH41" s="183"/>
      <c r="AI41" s="183"/>
      <c r="AJ41" s="183"/>
      <c r="AK41" s="183"/>
      <c r="AL41" s="183"/>
      <c r="AM41" s="183"/>
      <c r="AN41" s="183"/>
      <c r="AO41" s="180"/>
      <c r="AP41" s="141"/>
    </row>
    <row r="42" spans="1:43" s="104" customFormat="1" ht="9.75" customHeight="1" x14ac:dyDescent="0.25">
      <c r="A42" s="108"/>
      <c r="B42" s="120"/>
      <c r="C42" s="355" t="s">
        <v>1265</v>
      </c>
      <c r="D42" s="356"/>
      <c r="E42" s="356"/>
      <c r="F42" s="356"/>
      <c r="G42" s="357"/>
      <c r="H42" s="16"/>
      <c r="I42" s="111"/>
      <c r="J42" s="455">
        <f>AA28</f>
        <v>3500000</v>
      </c>
      <c r="K42" s="456"/>
      <c r="L42" s="456"/>
      <c r="M42" s="456"/>
      <c r="N42" s="456"/>
      <c r="O42" s="456"/>
      <c r="P42" s="456"/>
      <c r="Q42" s="456"/>
      <c r="R42" s="459" t="str">
        <f>UPPER(NumLetra(AA28))</f>
        <v>TRES MILLONES QUINIENTOS  MIL  PESOS M/CTE</v>
      </c>
      <c r="S42" s="460"/>
      <c r="T42" s="460"/>
      <c r="U42" s="460"/>
      <c r="V42" s="460"/>
      <c r="W42" s="460"/>
      <c r="X42" s="460"/>
      <c r="Y42" s="460"/>
      <c r="Z42" s="460"/>
      <c r="AA42" s="460"/>
      <c r="AB42" s="460"/>
      <c r="AC42" s="460"/>
      <c r="AD42" s="460"/>
      <c r="AE42" s="460"/>
      <c r="AF42" s="460"/>
      <c r="AG42" s="460"/>
      <c r="AH42" s="460"/>
      <c r="AI42" s="460"/>
      <c r="AJ42" s="460"/>
      <c r="AK42" s="460"/>
      <c r="AL42" s="460"/>
      <c r="AM42" s="461"/>
      <c r="AN42" s="112"/>
      <c r="AO42" s="180"/>
      <c r="AP42" s="141"/>
    </row>
    <row r="43" spans="1:43" s="104" customFormat="1" ht="25.5" customHeight="1" thickBot="1" x14ac:dyDescent="0.3">
      <c r="A43" s="108"/>
      <c r="B43" s="120"/>
      <c r="C43" s="358"/>
      <c r="D43" s="359"/>
      <c r="E43" s="359"/>
      <c r="F43" s="359"/>
      <c r="G43" s="360"/>
      <c r="H43" s="16"/>
      <c r="I43" s="109"/>
      <c r="J43" s="457"/>
      <c r="K43" s="458"/>
      <c r="L43" s="458"/>
      <c r="M43" s="458"/>
      <c r="N43" s="458"/>
      <c r="O43" s="458"/>
      <c r="P43" s="458"/>
      <c r="Q43" s="458"/>
      <c r="R43" s="462"/>
      <c r="S43" s="463"/>
      <c r="T43" s="463"/>
      <c r="U43" s="463"/>
      <c r="V43" s="463"/>
      <c r="W43" s="463"/>
      <c r="X43" s="463"/>
      <c r="Y43" s="463"/>
      <c r="Z43" s="463"/>
      <c r="AA43" s="463"/>
      <c r="AB43" s="463"/>
      <c r="AC43" s="463"/>
      <c r="AD43" s="463"/>
      <c r="AE43" s="463"/>
      <c r="AF43" s="463"/>
      <c r="AG43" s="463"/>
      <c r="AH43" s="463"/>
      <c r="AI43" s="463"/>
      <c r="AJ43" s="463"/>
      <c r="AK43" s="463"/>
      <c r="AL43" s="463"/>
      <c r="AM43" s="464"/>
      <c r="AN43" s="112"/>
      <c r="AO43" s="180"/>
      <c r="AP43" s="141"/>
      <c r="AQ43" s="181"/>
    </row>
    <row r="44" spans="1:43" s="104" customFormat="1" ht="6" customHeight="1" x14ac:dyDescent="0.25">
      <c r="A44" s="108"/>
      <c r="B44" s="120"/>
      <c r="C44" s="182"/>
      <c r="D44" s="182"/>
      <c r="E44" s="182"/>
      <c r="F44" s="182"/>
      <c r="G44" s="182"/>
      <c r="H44" s="109"/>
      <c r="I44" s="109"/>
      <c r="J44" s="183"/>
      <c r="K44" s="183"/>
      <c r="L44" s="183"/>
      <c r="M44" s="183"/>
      <c r="N44" s="183"/>
      <c r="O44" s="183"/>
      <c r="P44" s="183"/>
      <c r="Q44" s="183"/>
      <c r="R44" s="183"/>
      <c r="S44" s="183"/>
      <c r="T44" s="183"/>
      <c r="U44" s="183"/>
      <c r="V44" s="183"/>
      <c r="W44" s="183"/>
      <c r="X44" s="183"/>
      <c r="Y44" s="183"/>
      <c r="Z44" s="183"/>
      <c r="AA44" s="183"/>
      <c r="AB44" s="183"/>
      <c r="AC44" s="183"/>
      <c r="AD44" s="183"/>
      <c r="AE44" s="183"/>
      <c r="AF44" s="183"/>
      <c r="AG44" s="183"/>
      <c r="AH44" s="183"/>
      <c r="AI44" s="183"/>
      <c r="AJ44" s="183"/>
      <c r="AK44" s="183"/>
      <c r="AL44" s="183"/>
      <c r="AM44" s="183"/>
      <c r="AN44" s="183"/>
      <c r="AO44" s="180"/>
      <c r="AP44" s="141"/>
    </row>
    <row r="45" spans="1:43" s="104" customFormat="1" ht="14.25" customHeight="1" x14ac:dyDescent="0.25">
      <c r="A45" s="108"/>
      <c r="B45" s="120"/>
      <c r="C45" s="182"/>
      <c r="D45" s="182"/>
      <c r="E45" s="182"/>
      <c r="F45" s="182"/>
      <c r="G45" s="182"/>
      <c r="H45" s="109"/>
      <c r="I45" s="109"/>
      <c r="J45" s="361" t="s">
        <v>601</v>
      </c>
      <c r="K45" s="361"/>
      <c r="L45" s="361"/>
      <c r="M45" s="361"/>
      <c r="N45" s="361"/>
      <c r="O45" s="361"/>
      <c r="P45" s="361"/>
      <c r="Q45" s="361"/>
      <c r="R45" s="183"/>
      <c r="S45" s="183"/>
      <c r="T45" s="183"/>
      <c r="U45" s="183"/>
      <c r="V45" s="183"/>
      <c r="W45" s="183"/>
      <c r="X45" s="183"/>
      <c r="Y45" s="183"/>
      <c r="Z45" s="183"/>
      <c r="AA45" s="183"/>
      <c r="AB45" s="183"/>
      <c r="AC45" s="183"/>
      <c r="AD45" s="183"/>
      <c r="AE45" s="465" t="s">
        <v>1250</v>
      </c>
      <c r="AF45" s="465"/>
      <c r="AG45" s="465"/>
      <c r="AH45" s="465"/>
      <c r="AI45" s="465"/>
      <c r="AJ45" s="465"/>
      <c r="AK45" s="465"/>
      <c r="AL45" s="465"/>
      <c r="AM45" s="183"/>
      <c r="AN45" s="183"/>
      <c r="AO45" s="180"/>
      <c r="AP45" s="141"/>
      <c r="AQ45" s="184"/>
    </row>
    <row r="46" spans="1:43" s="104" customFormat="1" ht="28.5" customHeight="1" x14ac:dyDescent="0.25">
      <c r="A46" s="108"/>
      <c r="B46" s="120"/>
      <c r="C46" s="182"/>
      <c r="D46" s="182"/>
      <c r="E46" s="182"/>
      <c r="F46" s="182"/>
      <c r="G46" s="182"/>
      <c r="H46" s="109"/>
      <c r="I46" s="109"/>
      <c r="J46" s="469">
        <f>+(J28+O28)-J32-N32-R32-V32-Z32-AE32-AI32-J36-N36-R36-V36-Z36-AE36-AI36</f>
        <v>38500000</v>
      </c>
      <c r="K46" s="470"/>
      <c r="L46" s="470"/>
      <c r="M46" s="470"/>
      <c r="N46" s="470"/>
      <c r="O46" s="470"/>
      <c r="P46" s="470"/>
      <c r="Q46" s="471"/>
      <c r="R46" s="185"/>
      <c r="S46" s="185"/>
      <c r="T46" s="185"/>
      <c r="U46" s="185"/>
      <c r="V46" s="185"/>
      <c r="W46" s="185"/>
      <c r="X46" s="185"/>
      <c r="Y46" s="185"/>
      <c r="Z46" s="185"/>
      <c r="AA46" s="185"/>
      <c r="AB46" s="185"/>
      <c r="AC46" s="185"/>
      <c r="AD46" s="185"/>
      <c r="AE46" s="469">
        <f>J46-J42</f>
        <v>35000000</v>
      </c>
      <c r="AF46" s="470"/>
      <c r="AG46" s="470"/>
      <c r="AH46" s="470"/>
      <c r="AI46" s="470"/>
      <c r="AJ46" s="470"/>
      <c r="AK46" s="470"/>
      <c r="AL46" s="471"/>
      <c r="AM46" s="186"/>
      <c r="AN46" s="186"/>
      <c r="AO46" s="187"/>
      <c r="AP46" s="141"/>
      <c r="AQ46" s="181"/>
    </row>
    <row r="47" spans="1:43" s="104" customFormat="1" ht="8.25" customHeight="1" x14ac:dyDescent="0.25">
      <c r="A47" s="108"/>
      <c r="B47" s="130"/>
      <c r="C47" s="157"/>
      <c r="D47" s="157"/>
      <c r="E47" s="157"/>
      <c r="F47" s="157"/>
      <c r="G47" s="157"/>
      <c r="H47" s="157"/>
      <c r="I47" s="157"/>
      <c r="J47" s="477"/>
      <c r="K47" s="477"/>
      <c r="L47" s="477"/>
      <c r="M47" s="477"/>
      <c r="N47" s="477"/>
      <c r="O47" s="477"/>
      <c r="P47" s="477"/>
      <c r="Q47" s="477"/>
      <c r="R47" s="477"/>
      <c r="S47" s="477"/>
      <c r="T47" s="477"/>
      <c r="U47" s="477"/>
      <c r="V47" s="477"/>
      <c r="W47" s="477"/>
      <c r="X47" s="477"/>
      <c r="Y47" s="477"/>
      <c r="Z47" s="477"/>
      <c r="AA47" s="477"/>
      <c r="AB47" s="477"/>
      <c r="AC47" s="477"/>
      <c r="AD47" s="477"/>
      <c r="AE47" s="477"/>
      <c r="AF47" s="477"/>
      <c r="AG47" s="477"/>
      <c r="AH47" s="477"/>
      <c r="AI47" s="477"/>
      <c r="AJ47" s="477"/>
      <c r="AK47" s="477"/>
      <c r="AL47" s="477"/>
      <c r="AM47" s="188"/>
      <c r="AN47" s="188"/>
      <c r="AO47" s="189"/>
      <c r="AP47" s="141"/>
    </row>
    <row r="48" spans="1:43" s="104" customFormat="1" ht="6" customHeight="1" x14ac:dyDescent="0.25">
      <c r="A48" s="108"/>
      <c r="B48" s="109"/>
      <c r="C48" s="109"/>
      <c r="D48" s="109"/>
      <c r="E48" s="109"/>
      <c r="F48" s="109"/>
      <c r="G48" s="109"/>
      <c r="H48" s="109"/>
      <c r="I48" s="109"/>
      <c r="J48" s="190"/>
      <c r="K48" s="190"/>
      <c r="L48" s="190"/>
      <c r="M48" s="190"/>
      <c r="N48" s="190"/>
      <c r="O48" s="190"/>
      <c r="P48" s="190"/>
      <c r="Q48" s="190"/>
      <c r="R48" s="190"/>
      <c r="S48" s="190"/>
      <c r="T48" s="190"/>
      <c r="U48" s="190"/>
      <c r="V48" s="190"/>
      <c r="W48" s="190"/>
      <c r="X48" s="190"/>
      <c r="Y48" s="190"/>
      <c r="Z48" s="190"/>
      <c r="AA48" s="190"/>
      <c r="AB48" s="190"/>
      <c r="AC48" s="190"/>
      <c r="AD48" s="190"/>
      <c r="AE48" s="190"/>
      <c r="AF48" s="190"/>
      <c r="AG48" s="190"/>
      <c r="AH48" s="190"/>
      <c r="AI48" s="190"/>
      <c r="AJ48" s="190"/>
      <c r="AK48" s="190"/>
      <c r="AL48" s="190"/>
      <c r="AM48" s="190"/>
      <c r="AN48" s="190"/>
      <c r="AO48" s="190"/>
      <c r="AP48" s="141"/>
    </row>
    <row r="49" spans="1:42" s="104" customFormat="1" ht="20.100000000000001" customHeight="1" x14ac:dyDescent="0.25">
      <c r="A49" s="108"/>
      <c r="B49" s="478" t="s">
        <v>10</v>
      </c>
      <c r="C49" s="479"/>
      <c r="D49" s="479"/>
      <c r="E49" s="479"/>
      <c r="F49" s="479"/>
      <c r="G49" s="479"/>
      <c r="H49" s="479"/>
      <c r="I49" s="479"/>
      <c r="J49" s="479"/>
      <c r="K49" s="479"/>
      <c r="L49" s="479"/>
      <c r="M49" s="479"/>
      <c r="N49" s="479"/>
      <c r="O49" s="479"/>
      <c r="P49" s="479"/>
      <c r="Q49" s="479"/>
      <c r="R49" s="479"/>
      <c r="S49" s="479"/>
      <c r="T49" s="479"/>
      <c r="U49" s="479"/>
      <c r="V49" s="479"/>
      <c r="W49" s="479"/>
      <c r="X49" s="479"/>
      <c r="Y49" s="479"/>
      <c r="Z49" s="479"/>
      <c r="AA49" s="479"/>
      <c r="AB49" s="479"/>
      <c r="AC49" s="479"/>
      <c r="AD49" s="479"/>
      <c r="AE49" s="479"/>
      <c r="AF49" s="479"/>
      <c r="AG49" s="479"/>
      <c r="AH49" s="479"/>
      <c r="AI49" s="479"/>
      <c r="AJ49" s="479"/>
      <c r="AK49" s="479"/>
      <c r="AL49" s="479"/>
      <c r="AM49" s="479"/>
      <c r="AN49" s="479"/>
      <c r="AO49" s="480"/>
      <c r="AP49" s="141"/>
    </row>
    <row r="50" spans="1:42" s="104" customFormat="1" ht="22.5" customHeight="1" x14ac:dyDescent="0.25">
      <c r="A50" s="108"/>
      <c r="B50" s="481" t="s">
        <v>498</v>
      </c>
      <c r="C50" s="482"/>
      <c r="D50" s="482"/>
      <c r="E50" s="482"/>
      <c r="F50" s="482"/>
      <c r="G50" s="482"/>
      <c r="H50" s="482"/>
      <c r="I50" s="482"/>
      <c r="J50" s="482"/>
      <c r="K50" s="482"/>
      <c r="L50" s="482"/>
      <c r="M50" s="482"/>
      <c r="N50" s="482"/>
      <c r="O50" s="482"/>
      <c r="P50" s="482"/>
      <c r="Q50" s="482"/>
      <c r="R50" s="482"/>
      <c r="S50" s="482"/>
      <c r="T50" s="483"/>
      <c r="U50" s="109"/>
      <c r="V50" s="473" t="s">
        <v>499</v>
      </c>
      <c r="W50" s="474"/>
      <c r="X50" s="474"/>
      <c r="Y50" s="474"/>
      <c r="Z50" s="474"/>
      <c r="AA50" s="474"/>
      <c r="AB50" s="474"/>
      <c r="AC50" s="474"/>
      <c r="AD50" s="474"/>
      <c r="AE50" s="474"/>
      <c r="AF50" s="474"/>
      <c r="AG50" s="474"/>
      <c r="AH50" s="474"/>
      <c r="AI50" s="474"/>
      <c r="AJ50" s="474"/>
      <c r="AK50" s="474"/>
      <c r="AL50" s="474"/>
      <c r="AM50" s="474"/>
      <c r="AN50" s="474"/>
      <c r="AO50" s="475"/>
      <c r="AP50" s="141"/>
    </row>
    <row r="51" spans="1:42" s="104" customFormat="1" ht="12" customHeight="1" x14ac:dyDescent="0.25">
      <c r="A51" s="108"/>
      <c r="B51" s="362"/>
      <c r="C51" s="363"/>
      <c r="D51" s="363"/>
      <c r="E51" s="364"/>
      <c r="F51" s="365" t="s">
        <v>492</v>
      </c>
      <c r="G51" s="365"/>
      <c r="H51" s="365"/>
      <c r="I51" s="365"/>
      <c r="J51" s="484" t="s">
        <v>15</v>
      </c>
      <c r="K51" s="484"/>
      <c r="L51" s="484"/>
      <c r="M51" s="484"/>
      <c r="N51" s="484"/>
      <c r="O51" s="484"/>
      <c r="P51" s="486" t="s">
        <v>497</v>
      </c>
      <c r="Q51" s="486"/>
      <c r="R51" s="486"/>
      <c r="S51" s="486"/>
      <c r="T51" s="486"/>
      <c r="U51" s="111"/>
      <c r="V51" s="362"/>
      <c r="W51" s="363"/>
      <c r="X51" s="363"/>
      <c r="Y51" s="364"/>
      <c r="Z51" s="485" t="s">
        <v>492</v>
      </c>
      <c r="AA51" s="485"/>
      <c r="AB51" s="485"/>
      <c r="AC51" s="485"/>
      <c r="AD51" s="487" t="s">
        <v>15</v>
      </c>
      <c r="AE51" s="487"/>
      <c r="AF51" s="487"/>
      <c r="AG51" s="487"/>
      <c r="AH51" s="487"/>
      <c r="AI51" s="476" t="s">
        <v>497</v>
      </c>
      <c r="AJ51" s="476"/>
      <c r="AK51" s="476"/>
      <c r="AL51" s="476"/>
      <c r="AM51" s="476"/>
      <c r="AN51" s="476"/>
      <c r="AO51" s="476"/>
      <c r="AP51" s="141"/>
    </row>
    <row r="52" spans="1:42" s="104" customFormat="1" ht="15" x14ac:dyDescent="0.25">
      <c r="A52" s="108"/>
      <c r="B52" s="508" t="s">
        <v>14</v>
      </c>
      <c r="C52" s="508"/>
      <c r="D52" s="508"/>
      <c r="E52" s="508"/>
      <c r="F52" s="369">
        <v>13524</v>
      </c>
      <c r="G52" s="369"/>
      <c r="H52" s="369"/>
      <c r="I52" s="369"/>
      <c r="J52" s="446">
        <v>42000000</v>
      </c>
      <c r="K52" s="446"/>
      <c r="L52" s="446"/>
      <c r="M52" s="446"/>
      <c r="N52" s="446"/>
      <c r="O52" s="446"/>
      <c r="P52" s="472">
        <v>45304</v>
      </c>
      <c r="Q52" s="472"/>
      <c r="R52" s="472"/>
      <c r="S52" s="472"/>
      <c r="T52" s="472"/>
      <c r="U52" s="111"/>
      <c r="V52" s="447" t="s">
        <v>500</v>
      </c>
      <c r="W52" s="447"/>
      <c r="X52" s="447"/>
      <c r="Y52" s="447"/>
      <c r="Z52" s="448">
        <v>9624</v>
      </c>
      <c r="AA52" s="449"/>
      <c r="AB52" s="449"/>
      <c r="AC52" s="450"/>
      <c r="AD52" s="451">
        <v>42000000</v>
      </c>
      <c r="AE52" s="452"/>
      <c r="AF52" s="452"/>
      <c r="AG52" s="452"/>
      <c r="AH52" s="453"/>
      <c r="AI52" s="366">
        <v>45306</v>
      </c>
      <c r="AJ52" s="367"/>
      <c r="AK52" s="367"/>
      <c r="AL52" s="367"/>
      <c r="AM52" s="367"/>
      <c r="AN52" s="367"/>
      <c r="AO52" s="368"/>
      <c r="AP52" s="141"/>
    </row>
    <row r="53" spans="1:42" s="104" customFormat="1" ht="15" x14ac:dyDescent="0.25">
      <c r="A53" s="108"/>
      <c r="B53" s="508" t="s">
        <v>1251</v>
      </c>
      <c r="C53" s="508"/>
      <c r="D53" s="508"/>
      <c r="E53" s="508"/>
      <c r="F53" s="512"/>
      <c r="G53" s="512"/>
      <c r="H53" s="512"/>
      <c r="I53" s="512"/>
      <c r="J53" s="545"/>
      <c r="K53" s="545"/>
      <c r="L53" s="545"/>
      <c r="M53" s="545"/>
      <c r="N53" s="545"/>
      <c r="O53" s="545"/>
      <c r="P53" s="472"/>
      <c r="Q53" s="472"/>
      <c r="R53" s="472"/>
      <c r="S53" s="472"/>
      <c r="T53" s="472"/>
      <c r="U53" s="111"/>
      <c r="V53" s="447" t="s">
        <v>1253</v>
      </c>
      <c r="W53" s="447"/>
      <c r="X53" s="447"/>
      <c r="Y53" s="447"/>
      <c r="Z53" s="448"/>
      <c r="AA53" s="449"/>
      <c r="AB53" s="449"/>
      <c r="AC53" s="450"/>
      <c r="AD53" s="451"/>
      <c r="AE53" s="452"/>
      <c r="AF53" s="452"/>
      <c r="AG53" s="452"/>
      <c r="AH53" s="453"/>
      <c r="AI53" s="366"/>
      <c r="AJ53" s="367"/>
      <c r="AK53" s="367"/>
      <c r="AL53" s="367"/>
      <c r="AM53" s="367"/>
      <c r="AN53" s="367"/>
      <c r="AO53" s="368"/>
      <c r="AP53" s="141"/>
    </row>
    <row r="54" spans="1:42" s="104" customFormat="1" ht="15" x14ac:dyDescent="0.25">
      <c r="A54" s="108"/>
      <c r="B54" s="508" t="s">
        <v>1252</v>
      </c>
      <c r="C54" s="508"/>
      <c r="D54" s="508"/>
      <c r="E54" s="508"/>
      <c r="F54" s="512"/>
      <c r="G54" s="512"/>
      <c r="H54" s="512"/>
      <c r="I54" s="512"/>
      <c r="J54" s="545"/>
      <c r="K54" s="545"/>
      <c r="L54" s="545"/>
      <c r="M54" s="545"/>
      <c r="N54" s="545"/>
      <c r="O54" s="545"/>
      <c r="P54" s="472"/>
      <c r="Q54" s="472"/>
      <c r="R54" s="472"/>
      <c r="S54" s="472"/>
      <c r="T54" s="472"/>
      <c r="U54" s="111"/>
      <c r="V54" s="447" t="s">
        <v>1254</v>
      </c>
      <c r="W54" s="447"/>
      <c r="X54" s="447"/>
      <c r="Y54" s="447"/>
      <c r="Z54" s="448"/>
      <c r="AA54" s="449"/>
      <c r="AB54" s="449"/>
      <c r="AC54" s="450"/>
      <c r="AD54" s="451"/>
      <c r="AE54" s="452"/>
      <c r="AF54" s="452"/>
      <c r="AG54" s="452"/>
      <c r="AH54" s="453"/>
      <c r="AI54" s="366"/>
      <c r="AJ54" s="367"/>
      <c r="AK54" s="367"/>
      <c r="AL54" s="367"/>
      <c r="AM54" s="367"/>
      <c r="AN54" s="367"/>
      <c r="AO54" s="368"/>
      <c r="AP54" s="141"/>
    </row>
    <row r="55" spans="1:42" s="104" customFormat="1" ht="14.45" customHeight="1" x14ac:dyDescent="0.25">
      <c r="A55" s="108"/>
      <c r="B55" s="508" t="s">
        <v>597</v>
      </c>
      <c r="C55" s="508"/>
      <c r="D55" s="508"/>
      <c r="E55" s="508"/>
      <c r="F55" s="553"/>
      <c r="G55" s="553"/>
      <c r="H55" s="553"/>
      <c r="I55" s="553"/>
      <c r="J55" s="554"/>
      <c r="K55" s="554"/>
      <c r="L55" s="554"/>
      <c r="M55" s="554"/>
      <c r="N55" s="554"/>
      <c r="O55" s="554"/>
      <c r="P55" s="472"/>
      <c r="Q55" s="472"/>
      <c r="R55" s="472"/>
      <c r="S55" s="472"/>
      <c r="T55" s="472"/>
      <c r="U55" s="111"/>
      <c r="V55" s="516" t="s">
        <v>598</v>
      </c>
      <c r="W55" s="517"/>
      <c r="X55" s="517"/>
      <c r="Y55" s="518"/>
      <c r="Z55" s="519"/>
      <c r="AA55" s="520"/>
      <c r="AB55" s="520"/>
      <c r="AC55" s="521"/>
      <c r="AD55" s="466"/>
      <c r="AE55" s="467"/>
      <c r="AF55" s="467"/>
      <c r="AG55" s="467"/>
      <c r="AH55" s="468"/>
      <c r="AI55" s="366"/>
      <c r="AJ55" s="367"/>
      <c r="AK55" s="367"/>
      <c r="AL55" s="367"/>
      <c r="AM55" s="367"/>
      <c r="AN55" s="367"/>
      <c r="AO55" s="368"/>
      <c r="AP55" s="141"/>
    </row>
    <row r="56" spans="1:42" s="104" customFormat="1" ht="8.25" customHeight="1" x14ac:dyDescent="0.25">
      <c r="A56" s="108"/>
      <c r="B56" s="192"/>
      <c r="C56" s="192"/>
      <c r="D56" s="192"/>
      <c r="E56" s="192"/>
      <c r="F56" s="166"/>
      <c r="G56" s="166"/>
      <c r="H56" s="166"/>
      <c r="I56" s="166"/>
      <c r="J56" s="193"/>
      <c r="K56" s="193"/>
      <c r="L56" s="193"/>
      <c r="M56" s="193"/>
      <c r="N56" s="193"/>
      <c r="O56" s="194"/>
      <c r="P56" s="194"/>
      <c r="Q56" s="194"/>
      <c r="R56" s="194"/>
      <c r="S56" s="194"/>
      <c r="T56" s="194"/>
      <c r="U56" s="111"/>
      <c r="V56" s="195"/>
      <c r="W56" s="195"/>
      <c r="X56" s="195"/>
      <c r="Y56" s="195"/>
      <c r="Z56" s="196"/>
      <c r="AA56" s="196"/>
      <c r="AB56" s="196"/>
      <c r="AC56" s="196"/>
      <c r="AD56" s="197"/>
      <c r="AE56" s="197"/>
      <c r="AF56" s="197"/>
      <c r="AG56" s="197"/>
      <c r="AH56" s="197"/>
      <c r="AI56" s="198"/>
      <c r="AJ56" s="198"/>
      <c r="AK56" s="198"/>
      <c r="AL56" s="198"/>
      <c r="AM56" s="198"/>
      <c r="AN56" s="198"/>
      <c r="AO56" s="198"/>
      <c r="AP56" s="141"/>
    </row>
    <row r="57" spans="1:42" s="104" customFormat="1" ht="12" customHeight="1" x14ac:dyDescent="0.25">
      <c r="A57" s="108"/>
      <c r="B57" s="541"/>
      <c r="C57" s="542"/>
      <c r="D57" s="542"/>
      <c r="E57" s="542"/>
      <c r="F57" s="542"/>
      <c r="G57" s="542"/>
      <c r="H57" s="542"/>
      <c r="I57" s="542"/>
      <c r="J57" s="542"/>
      <c r="K57" s="542"/>
      <c r="L57" s="542"/>
      <c r="M57" s="542"/>
      <c r="N57" s="542"/>
      <c r="O57" s="542"/>
      <c r="P57" s="542"/>
      <c r="Q57" s="542"/>
      <c r="R57" s="542"/>
      <c r="S57" s="542"/>
      <c r="T57" s="542"/>
      <c r="U57" s="542"/>
      <c r="V57" s="542"/>
      <c r="W57" s="542"/>
      <c r="X57" s="542"/>
      <c r="Y57" s="542"/>
      <c r="Z57" s="542"/>
      <c r="AA57" s="542"/>
      <c r="AB57" s="542"/>
      <c r="AC57" s="542"/>
      <c r="AD57" s="542"/>
      <c r="AE57" s="542"/>
      <c r="AF57" s="542"/>
      <c r="AG57" s="542"/>
      <c r="AH57" s="542"/>
      <c r="AI57" s="542"/>
      <c r="AJ57" s="542"/>
      <c r="AK57" s="542"/>
      <c r="AL57" s="542"/>
      <c r="AM57" s="542"/>
      <c r="AN57" s="542"/>
      <c r="AO57" s="543"/>
      <c r="AP57" s="141"/>
    </row>
    <row r="58" spans="1:42" s="104" customFormat="1" ht="6.75" customHeight="1" x14ac:dyDescent="0.25">
      <c r="A58" s="108"/>
      <c r="B58" s="199"/>
      <c r="C58" s="192"/>
      <c r="D58" s="192"/>
      <c r="E58" s="192"/>
      <c r="F58" s="166"/>
      <c r="G58" s="166"/>
      <c r="H58" s="166"/>
      <c r="I58" s="166"/>
      <c r="J58" s="193"/>
      <c r="K58" s="193"/>
      <c r="L58" s="193"/>
      <c r="M58" s="193"/>
      <c r="N58" s="193"/>
      <c r="O58" s="194"/>
      <c r="P58" s="194"/>
      <c r="Q58" s="194"/>
      <c r="R58" s="194"/>
      <c r="S58" s="194"/>
      <c r="T58" s="194"/>
      <c r="U58" s="111"/>
      <c r="V58" s="195"/>
      <c r="W58" s="195"/>
      <c r="X58" s="195"/>
      <c r="Y58" s="195"/>
      <c r="Z58" s="196"/>
      <c r="AA58" s="196"/>
      <c r="AB58" s="196"/>
      <c r="AC58" s="196"/>
      <c r="AD58" s="197"/>
      <c r="AE58" s="197"/>
      <c r="AF58" s="197"/>
      <c r="AG58" s="197"/>
      <c r="AH58" s="197"/>
      <c r="AI58" s="198"/>
      <c r="AJ58" s="198"/>
      <c r="AK58" s="198"/>
      <c r="AL58" s="198"/>
      <c r="AM58" s="198"/>
      <c r="AN58" s="198"/>
      <c r="AO58" s="200"/>
      <c r="AP58" s="141"/>
    </row>
    <row r="59" spans="1:42" s="104" customFormat="1" ht="12" customHeight="1" x14ac:dyDescent="0.25">
      <c r="A59" s="108"/>
      <c r="B59" s="505" t="s">
        <v>531</v>
      </c>
      <c r="C59" s="506"/>
      <c r="D59" s="506"/>
      <c r="E59" s="506"/>
      <c r="F59" s="506"/>
      <c r="G59" s="506"/>
      <c r="H59" s="166"/>
      <c r="I59" s="493" t="s">
        <v>528</v>
      </c>
      <c r="J59" s="493"/>
      <c r="K59" s="493"/>
      <c r="L59" s="493"/>
      <c r="M59" s="493"/>
      <c r="N59" s="378" t="s">
        <v>556</v>
      </c>
      <c r="O59" s="378"/>
      <c r="P59" s="378"/>
      <c r="Q59" s="378"/>
      <c r="R59" s="378"/>
      <c r="S59" s="140"/>
      <c r="T59" s="522" t="s">
        <v>1288</v>
      </c>
      <c r="U59" s="522"/>
      <c r="V59" s="522"/>
      <c r="W59" s="522"/>
      <c r="X59" s="522"/>
      <c r="Y59" s="202"/>
      <c r="Z59" s="454" t="s">
        <v>551</v>
      </c>
      <c r="AA59" s="454"/>
      <c r="AB59" s="454"/>
      <c r="AC59" s="454"/>
      <c r="AD59" s="454"/>
      <c r="AE59" s="493" t="s">
        <v>515</v>
      </c>
      <c r="AF59" s="493"/>
      <c r="AG59" s="493"/>
      <c r="AH59" s="493"/>
      <c r="AI59" s="493"/>
      <c r="AJ59" s="493"/>
      <c r="AK59" s="493"/>
      <c r="AL59" s="493"/>
      <c r="AM59" s="493"/>
      <c r="AN59" s="493"/>
      <c r="AO59" s="200"/>
      <c r="AP59" s="141"/>
    </row>
    <row r="60" spans="1:42" s="104" customFormat="1" ht="12" customHeight="1" x14ac:dyDescent="0.25">
      <c r="A60" s="108"/>
      <c r="B60" s="199"/>
      <c r="C60" s="192"/>
      <c r="D60" s="192"/>
      <c r="E60" s="192"/>
      <c r="F60" s="166"/>
      <c r="G60" s="166"/>
      <c r="H60" s="166"/>
      <c r="I60" s="166"/>
      <c r="J60" s="193"/>
      <c r="K60" s="193"/>
      <c r="L60" s="193"/>
      <c r="M60" s="193"/>
      <c r="N60" s="193"/>
      <c r="O60" s="194"/>
      <c r="P60" s="194"/>
      <c r="Q60" s="194"/>
      <c r="R60" s="194"/>
      <c r="S60" s="194"/>
      <c r="T60" s="194"/>
      <c r="U60" s="111"/>
      <c r="V60" s="195"/>
      <c r="W60" s="195"/>
      <c r="X60" s="195"/>
      <c r="Y60" s="195"/>
      <c r="Z60" s="196"/>
      <c r="AA60" s="196"/>
      <c r="AB60" s="196"/>
      <c r="AC60" s="196"/>
      <c r="AD60" s="197"/>
      <c r="AE60" s="197"/>
      <c r="AF60" s="197"/>
      <c r="AG60" s="197"/>
      <c r="AH60" s="197"/>
      <c r="AI60" s="198"/>
      <c r="AJ60" s="198"/>
      <c r="AK60" s="198"/>
      <c r="AL60" s="198"/>
      <c r="AM60" s="198"/>
      <c r="AN60" s="198"/>
      <c r="AO60" s="200"/>
      <c r="AP60" s="141"/>
    </row>
    <row r="61" spans="1:42" s="104" customFormat="1" ht="12" customHeight="1" x14ac:dyDescent="0.25">
      <c r="A61" s="108"/>
      <c r="B61" s="505" t="s">
        <v>1280</v>
      </c>
      <c r="C61" s="506"/>
      <c r="D61" s="506"/>
      <c r="E61" s="506"/>
      <c r="F61" s="506"/>
      <c r="G61" s="506"/>
      <c r="H61" s="166"/>
      <c r="I61" s="419" t="s">
        <v>1275</v>
      </c>
      <c r="J61" s="419"/>
      <c r="K61" s="419"/>
      <c r="L61" s="419"/>
      <c r="M61" s="419"/>
      <c r="N61" s="203"/>
      <c r="O61" s="112" t="s">
        <v>555</v>
      </c>
      <c r="P61" s="112"/>
      <c r="Q61" s="112"/>
      <c r="R61" s="112"/>
      <c r="S61" s="112"/>
      <c r="T61" s="401">
        <v>10</v>
      </c>
      <c r="U61" s="401"/>
      <c r="V61" s="401"/>
      <c r="W61" s="401"/>
      <c r="X61" s="401"/>
      <c r="Y61" s="195"/>
      <c r="Z61" s="196"/>
      <c r="AA61" s="196"/>
      <c r="AB61" s="196"/>
      <c r="AC61" s="196"/>
      <c r="AD61" s="197"/>
      <c r="AE61" s="197"/>
      <c r="AF61" s="197"/>
      <c r="AG61" s="197"/>
      <c r="AH61" s="197"/>
      <c r="AI61" s="198"/>
      <c r="AJ61" s="198"/>
      <c r="AK61" s="198"/>
      <c r="AL61" s="198"/>
      <c r="AM61" s="198"/>
      <c r="AN61" s="198"/>
      <c r="AO61" s="200"/>
      <c r="AP61" s="141"/>
    </row>
    <row r="62" spans="1:42" s="104" customFormat="1" ht="12" customHeight="1" x14ac:dyDescent="0.25">
      <c r="A62" s="108"/>
      <c r="B62" s="204"/>
      <c r="C62" s="205"/>
      <c r="D62" s="205"/>
      <c r="E62" s="205"/>
      <c r="F62" s="205"/>
      <c r="G62" s="205"/>
      <c r="H62" s="201"/>
      <c r="I62" s="201"/>
      <c r="J62" s="201"/>
      <c r="K62" s="201"/>
      <c r="L62" s="201"/>
      <c r="M62" s="201"/>
      <c r="N62" s="201"/>
      <c r="O62" s="201"/>
      <c r="P62" s="201"/>
      <c r="Q62" s="201"/>
      <c r="R62" s="201"/>
      <c r="S62" s="201"/>
      <c r="T62" s="206"/>
      <c r="U62" s="156"/>
      <c r="V62" s="207"/>
      <c r="W62" s="207"/>
      <c r="X62" s="207"/>
      <c r="Y62" s="207"/>
      <c r="Z62" s="208"/>
      <c r="AA62" s="208"/>
      <c r="AB62" s="208"/>
      <c r="AC62" s="208"/>
      <c r="AD62" s="209"/>
      <c r="AE62" s="209"/>
      <c r="AF62" s="209"/>
      <c r="AG62" s="209"/>
      <c r="AH62" s="209"/>
      <c r="AI62" s="210"/>
      <c r="AJ62" s="210"/>
      <c r="AK62" s="210"/>
      <c r="AL62" s="210"/>
      <c r="AM62" s="210"/>
      <c r="AN62" s="210"/>
      <c r="AO62" s="211"/>
      <c r="AP62" s="141"/>
    </row>
    <row r="63" spans="1:42" s="104" customFormat="1" ht="10.5" customHeight="1" x14ac:dyDescent="0.25">
      <c r="A63" s="108"/>
      <c r="B63" s="192"/>
      <c r="C63" s="192"/>
      <c r="D63" s="192"/>
      <c r="E63" s="192"/>
      <c r="F63" s="140"/>
      <c r="G63" s="140"/>
      <c r="H63" s="140"/>
      <c r="I63" s="140"/>
      <c r="J63" s="212"/>
      <c r="K63" s="212"/>
      <c r="L63" s="212"/>
      <c r="M63" s="212"/>
      <c r="N63" s="212"/>
      <c r="O63" s="170"/>
      <c r="P63" s="170"/>
      <c r="Q63" s="170"/>
      <c r="R63" s="170"/>
      <c r="S63" s="170"/>
      <c r="T63" s="170"/>
      <c r="U63" s="111"/>
      <c r="V63" s="195"/>
      <c r="W63" s="195"/>
      <c r="X63" s="195"/>
      <c r="Y63" s="195"/>
      <c r="Z63" s="213"/>
      <c r="AA63" s="213"/>
      <c r="AB63" s="213"/>
      <c r="AC63" s="213"/>
      <c r="AD63" s="213"/>
      <c r="AE63" s="213"/>
      <c r="AF63" s="213"/>
      <c r="AG63" s="213"/>
      <c r="AH63" s="213"/>
      <c r="AI63" s="213"/>
      <c r="AJ63" s="213"/>
      <c r="AK63" s="213"/>
      <c r="AL63" s="213"/>
      <c r="AM63" s="213"/>
      <c r="AN63" s="213"/>
      <c r="AO63" s="213"/>
      <c r="AP63" s="141"/>
    </row>
    <row r="64" spans="1:42" s="104" customFormat="1" ht="20.100000000000001" customHeight="1" x14ac:dyDescent="0.25">
      <c r="A64" s="108"/>
      <c r="B64" s="478" t="s">
        <v>502</v>
      </c>
      <c r="C64" s="479"/>
      <c r="D64" s="479"/>
      <c r="E64" s="479"/>
      <c r="F64" s="479"/>
      <c r="G64" s="479"/>
      <c r="H64" s="479"/>
      <c r="I64" s="479"/>
      <c r="J64" s="479"/>
      <c r="K64" s="479"/>
      <c r="L64" s="479"/>
      <c r="M64" s="479"/>
      <c r="N64" s="479"/>
      <c r="O64" s="479"/>
      <c r="P64" s="479"/>
      <c r="Q64" s="479"/>
      <c r="R64" s="479"/>
      <c r="S64" s="479"/>
      <c r="T64" s="479"/>
      <c r="U64" s="479"/>
      <c r="V64" s="479"/>
      <c r="W64" s="479"/>
      <c r="X64" s="479"/>
      <c r="Y64" s="479"/>
      <c r="Z64" s="479"/>
      <c r="AA64" s="479"/>
      <c r="AB64" s="479"/>
      <c r="AC64" s="479"/>
      <c r="AD64" s="479"/>
      <c r="AE64" s="479"/>
      <c r="AF64" s="479"/>
      <c r="AG64" s="479"/>
      <c r="AH64" s="479"/>
      <c r="AI64" s="479"/>
      <c r="AJ64" s="479"/>
      <c r="AK64" s="479"/>
      <c r="AL64" s="479"/>
      <c r="AM64" s="479"/>
      <c r="AN64" s="479"/>
      <c r="AO64" s="480"/>
      <c r="AP64" s="141"/>
    </row>
    <row r="65" spans="1:42" s="104" customFormat="1" ht="3.75" customHeight="1" x14ac:dyDescent="0.25">
      <c r="A65" s="108"/>
      <c r="B65" s="214"/>
      <c r="C65" s="215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216"/>
      <c r="AP65" s="141"/>
    </row>
    <row r="66" spans="1:42" s="104" customFormat="1" ht="6" customHeight="1" x14ac:dyDescent="0.25">
      <c r="A66" s="108"/>
      <c r="B66" s="120"/>
      <c r="C66" s="523" t="s">
        <v>13</v>
      </c>
      <c r="D66" s="109"/>
      <c r="E66" s="109"/>
      <c r="F66" s="109"/>
      <c r="G66" s="109"/>
      <c r="H66" s="109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  <c r="Y66" s="109"/>
      <c r="Z66" s="109"/>
      <c r="AA66" s="109"/>
      <c r="AB66" s="109"/>
      <c r="AC66" s="109"/>
      <c r="AD66" s="109"/>
      <c r="AE66" s="109"/>
      <c r="AF66" s="109"/>
      <c r="AG66" s="109"/>
      <c r="AH66" s="109"/>
      <c r="AI66" s="109"/>
      <c r="AJ66" s="109"/>
      <c r="AK66" s="109"/>
      <c r="AL66" s="109"/>
      <c r="AM66" s="109"/>
      <c r="AN66" s="109"/>
      <c r="AO66" s="124"/>
      <c r="AP66" s="141"/>
    </row>
    <row r="67" spans="1:42" s="104" customFormat="1" ht="13.5" customHeight="1" x14ac:dyDescent="0.25">
      <c r="A67" s="108"/>
      <c r="B67" s="120"/>
      <c r="C67" s="523"/>
      <c r="D67" s="217"/>
      <c r="E67" s="147" t="s">
        <v>1222</v>
      </c>
      <c r="F67" s="218"/>
      <c r="G67" s="379" t="s">
        <v>8</v>
      </c>
      <c r="H67" s="379"/>
      <c r="I67" s="379"/>
      <c r="J67" s="379"/>
      <c r="K67" s="379"/>
      <c r="L67" s="379"/>
      <c r="M67" s="379"/>
      <c r="N67" s="379"/>
      <c r="O67" s="379"/>
      <c r="P67" s="379"/>
      <c r="Q67" s="379"/>
      <c r="R67" s="379"/>
      <c r="S67" s="379"/>
      <c r="T67" s="379"/>
      <c r="U67" s="379"/>
      <c r="V67" s="379"/>
      <c r="W67" s="379"/>
      <c r="X67" s="379"/>
      <c r="Y67" s="379"/>
      <c r="Z67" s="379"/>
      <c r="AA67" s="379"/>
      <c r="AB67" s="379"/>
      <c r="AC67" s="379"/>
      <c r="AD67" s="379"/>
      <c r="AE67" s="379"/>
      <c r="AF67" s="379"/>
      <c r="AG67" s="379"/>
      <c r="AH67" s="379"/>
      <c r="AI67" s="379"/>
      <c r="AJ67" s="379"/>
      <c r="AK67" s="379"/>
      <c r="AL67" s="379"/>
      <c r="AM67" s="9"/>
      <c r="AN67" s="9"/>
      <c r="AO67" s="8"/>
      <c r="AP67" s="141"/>
    </row>
    <row r="68" spans="1:42" s="104" customFormat="1" ht="3.95" customHeight="1" x14ac:dyDescent="0.25">
      <c r="A68" s="108"/>
      <c r="B68" s="120"/>
      <c r="C68" s="523"/>
      <c r="D68" s="217"/>
      <c r="E68" s="219"/>
      <c r="F68" s="218"/>
      <c r="G68" s="109"/>
      <c r="H68" s="109"/>
      <c r="I68" s="109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8"/>
      <c r="AP68" s="141"/>
    </row>
    <row r="69" spans="1:42" s="104" customFormat="1" ht="13.5" customHeight="1" x14ac:dyDescent="0.25">
      <c r="A69" s="108"/>
      <c r="B69" s="120"/>
      <c r="C69" s="523"/>
      <c r="D69" s="217"/>
      <c r="E69" s="147" t="s">
        <v>1222</v>
      </c>
      <c r="F69" s="218"/>
      <c r="G69" s="379" t="s">
        <v>9</v>
      </c>
      <c r="H69" s="379"/>
      <c r="I69" s="379"/>
      <c r="J69" s="379"/>
      <c r="K69" s="379"/>
      <c r="L69" s="379"/>
      <c r="M69" s="379"/>
      <c r="N69" s="379"/>
      <c r="O69" s="379"/>
      <c r="P69" s="379"/>
      <c r="Q69" s="379"/>
      <c r="R69" s="379"/>
      <c r="S69" s="379"/>
      <c r="T69" s="379"/>
      <c r="U69" s="379"/>
      <c r="V69" s="379"/>
      <c r="W69" s="379"/>
      <c r="X69" s="379"/>
      <c r="Y69" s="379"/>
      <c r="Z69" s="379"/>
      <c r="AA69" s="379"/>
      <c r="AB69" s="379"/>
      <c r="AC69" s="379"/>
      <c r="AD69" s="379"/>
      <c r="AE69" s="379"/>
      <c r="AF69" s="379"/>
      <c r="AG69" s="379"/>
      <c r="AH69" s="379"/>
      <c r="AI69" s="379"/>
      <c r="AJ69" s="379"/>
      <c r="AK69" s="379"/>
      <c r="AL69" s="379"/>
      <c r="AM69" s="9"/>
      <c r="AN69" s="9"/>
      <c r="AO69" s="8"/>
      <c r="AP69" s="141"/>
    </row>
    <row r="70" spans="1:42" s="104" customFormat="1" ht="3.95" customHeight="1" x14ac:dyDescent="0.25">
      <c r="A70" s="108"/>
      <c r="B70" s="120"/>
      <c r="C70" s="523"/>
      <c r="D70" s="217"/>
      <c r="E70" s="219"/>
      <c r="F70" s="218"/>
      <c r="G70" s="109"/>
      <c r="H70" s="109"/>
      <c r="I70" s="109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8"/>
      <c r="AP70" s="141"/>
    </row>
    <row r="71" spans="1:42" s="227" customFormat="1" ht="15.75" customHeight="1" x14ac:dyDescent="0.25">
      <c r="A71" s="220"/>
      <c r="B71" s="221"/>
      <c r="C71" s="523"/>
      <c r="D71" s="222"/>
      <c r="E71" s="147" t="s">
        <v>1222</v>
      </c>
      <c r="F71" s="223"/>
      <c r="G71" s="514" t="s">
        <v>1281</v>
      </c>
      <c r="H71" s="514"/>
      <c r="I71" s="514"/>
      <c r="J71" s="514"/>
      <c r="K71" s="514"/>
      <c r="L71" s="514"/>
      <c r="M71" s="514"/>
      <c r="N71" s="514"/>
      <c r="O71" s="514"/>
      <c r="P71" s="514"/>
      <c r="Q71" s="514"/>
      <c r="R71" s="514"/>
      <c r="S71" s="514"/>
      <c r="T71" s="514"/>
      <c r="U71" s="514"/>
      <c r="V71" s="514"/>
      <c r="W71" s="514"/>
      <c r="X71" s="514"/>
      <c r="Y71" s="514"/>
      <c r="Z71" s="514"/>
      <c r="AA71" s="514"/>
      <c r="AB71" s="514"/>
      <c r="AC71" s="514"/>
      <c r="AD71" s="514"/>
      <c r="AE71" s="514"/>
      <c r="AF71" s="514"/>
      <c r="AG71" s="514"/>
      <c r="AH71" s="514"/>
      <c r="AI71" s="514"/>
      <c r="AJ71" s="514"/>
      <c r="AK71" s="514"/>
      <c r="AL71" s="514"/>
      <c r="AM71" s="224"/>
      <c r="AN71" s="224"/>
      <c r="AO71" s="225"/>
      <c r="AP71" s="226"/>
    </row>
    <row r="72" spans="1:42" s="104" customFormat="1" ht="9.9499999999999993" customHeight="1" x14ac:dyDescent="0.35">
      <c r="A72" s="108"/>
      <c r="B72" s="120"/>
      <c r="C72" s="523"/>
      <c r="D72" s="217"/>
      <c r="E72" s="219"/>
      <c r="F72" s="218"/>
      <c r="G72" s="514"/>
      <c r="H72" s="514"/>
      <c r="I72" s="514"/>
      <c r="J72" s="514"/>
      <c r="K72" s="514"/>
      <c r="L72" s="514"/>
      <c r="M72" s="514"/>
      <c r="N72" s="514"/>
      <c r="O72" s="514"/>
      <c r="P72" s="514"/>
      <c r="Q72" s="514"/>
      <c r="R72" s="514"/>
      <c r="S72" s="514"/>
      <c r="T72" s="514"/>
      <c r="U72" s="514"/>
      <c r="V72" s="514"/>
      <c r="W72" s="514"/>
      <c r="X72" s="514"/>
      <c r="Y72" s="514"/>
      <c r="Z72" s="514"/>
      <c r="AA72" s="514"/>
      <c r="AB72" s="514"/>
      <c r="AC72" s="514"/>
      <c r="AD72" s="514"/>
      <c r="AE72" s="514"/>
      <c r="AF72" s="514"/>
      <c r="AG72" s="514"/>
      <c r="AH72" s="514"/>
      <c r="AI72" s="514"/>
      <c r="AJ72" s="514"/>
      <c r="AK72" s="514"/>
      <c r="AL72" s="514"/>
      <c r="AM72" s="224"/>
      <c r="AN72" s="224"/>
      <c r="AO72" s="228"/>
      <c r="AP72" s="141"/>
    </row>
    <row r="73" spans="1:42" s="104" customFormat="1" ht="0.75" customHeight="1" x14ac:dyDescent="0.35">
      <c r="A73" s="108"/>
      <c r="B73" s="120"/>
      <c r="C73" s="523"/>
      <c r="D73" s="217"/>
      <c r="E73" s="219"/>
      <c r="F73" s="218"/>
      <c r="G73" s="109"/>
      <c r="H73" s="109"/>
      <c r="I73" s="109"/>
      <c r="J73" s="229"/>
      <c r="K73" s="229"/>
      <c r="L73" s="229"/>
      <c r="M73" s="229"/>
      <c r="N73" s="229"/>
      <c r="O73" s="229"/>
      <c r="P73" s="229"/>
      <c r="Q73" s="229"/>
      <c r="R73" s="229"/>
      <c r="S73" s="229"/>
      <c r="T73" s="229"/>
      <c r="U73" s="229"/>
      <c r="V73" s="229"/>
      <c r="W73" s="229"/>
      <c r="X73" s="229"/>
      <c r="Y73" s="229"/>
      <c r="Z73" s="229"/>
      <c r="AA73" s="229"/>
      <c r="AB73" s="229"/>
      <c r="AC73" s="229"/>
      <c r="AD73" s="229"/>
      <c r="AE73" s="229"/>
      <c r="AF73" s="229"/>
      <c r="AG73" s="229"/>
      <c r="AH73" s="229"/>
      <c r="AI73" s="229"/>
      <c r="AJ73" s="229"/>
      <c r="AK73" s="229"/>
      <c r="AL73" s="229"/>
      <c r="AM73" s="229"/>
      <c r="AN73" s="229"/>
      <c r="AO73" s="228"/>
      <c r="AP73" s="141"/>
    </row>
    <row r="74" spans="1:42" s="104" customFormat="1" ht="17.25" customHeight="1" x14ac:dyDescent="0.25">
      <c r="A74" s="108"/>
      <c r="B74" s="120"/>
      <c r="C74" s="523"/>
      <c r="D74" s="217"/>
      <c r="E74" s="147" t="s">
        <v>1222</v>
      </c>
      <c r="F74" s="218"/>
      <c r="G74" s="515" t="s">
        <v>1282</v>
      </c>
      <c r="H74" s="515"/>
      <c r="I74" s="515"/>
      <c r="J74" s="515"/>
      <c r="K74" s="515"/>
      <c r="L74" s="515"/>
      <c r="M74" s="515"/>
      <c r="N74" s="515"/>
      <c r="O74" s="515"/>
      <c r="P74" s="515"/>
      <c r="Q74" s="515"/>
      <c r="R74" s="515"/>
      <c r="S74" s="515"/>
      <c r="T74" s="515"/>
      <c r="U74" s="515"/>
      <c r="V74" s="515"/>
      <c r="W74" s="515"/>
      <c r="X74" s="515"/>
      <c r="Y74" s="515"/>
      <c r="Z74" s="515"/>
      <c r="AA74" s="515"/>
      <c r="AB74" s="515"/>
      <c r="AC74" s="515"/>
      <c r="AD74" s="515"/>
      <c r="AE74" s="515"/>
      <c r="AF74" s="515"/>
      <c r="AG74" s="515"/>
      <c r="AH74" s="515"/>
      <c r="AI74" s="515"/>
      <c r="AJ74" s="515"/>
      <c r="AK74" s="515"/>
      <c r="AL74" s="515"/>
      <c r="AM74" s="230"/>
      <c r="AN74" s="230"/>
      <c r="AO74" s="231"/>
      <c r="AP74" s="141"/>
    </row>
    <row r="75" spans="1:42" s="104" customFormat="1" ht="9" customHeight="1" x14ac:dyDescent="0.25">
      <c r="A75" s="108"/>
      <c r="B75" s="120"/>
      <c r="C75" s="523"/>
      <c r="D75" s="217"/>
      <c r="E75" s="115"/>
      <c r="F75" s="218"/>
      <c r="G75" s="515"/>
      <c r="H75" s="515"/>
      <c r="I75" s="515"/>
      <c r="J75" s="515"/>
      <c r="K75" s="515"/>
      <c r="L75" s="515"/>
      <c r="M75" s="515"/>
      <c r="N75" s="515"/>
      <c r="O75" s="515"/>
      <c r="P75" s="515"/>
      <c r="Q75" s="515"/>
      <c r="R75" s="515"/>
      <c r="S75" s="515"/>
      <c r="T75" s="515"/>
      <c r="U75" s="515"/>
      <c r="V75" s="515"/>
      <c r="W75" s="515"/>
      <c r="X75" s="515"/>
      <c r="Y75" s="515"/>
      <c r="Z75" s="515"/>
      <c r="AA75" s="515"/>
      <c r="AB75" s="515"/>
      <c r="AC75" s="515"/>
      <c r="AD75" s="515"/>
      <c r="AE75" s="515"/>
      <c r="AF75" s="515"/>
      <c r="AG75" s="515"/>
      <c r="AH75" s="515"/>
      <c r="AI75" s="515"/>
      <c r="AJ75" s="515"/>
      <c r="AK75" s="515"/>
      <c r="AL75" s="515"/>
      <c r="AM75" s="230"/>
      <c r="AN75" s="230"/>
      <c r="AO75" s="231"/>
      <c r="AP75" s="141"/>
    </row>
    <row r="76" spans="1:42" s="104" customFormat="1" ht="3.95" customHeight="1" x14ac:dyDescent="0.25">
      <c r="A76" s="108"/>
      <c r="B76" s="120"/>
      <c r="C76" s="523"/>
      <c r="D76" s="217"/>
      <c r="E76" s="219"/>
      <c r="F76" s="218"/>
      <c r="G76" s="140"/>
      <c r="H76" s="140"/>
      <c r="I76" s="10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  <c r="AH76" s="9"/>
      <c r="AI76" s="9"/>
      <c r="AJ76" s="9"/>
      <c r="AK76" s="9"/>
      <c r="AL76" s="7"/>
      <c r="AM76" s="7"/>
      <c r="AN76" s="7"/>
      <c r="AO76" s="8"/>
      <c r="AP76" s="141"/>
    </row>
    <row r="77" spans="1:42" s="104" customFormat="1" ht="5.25" customHeight="1" x14ac:dyDescent="0.25">
      <c r="A77" s="108"/>
      <c r="B77" s="130"/>
      <c r="C77" s="232"/>
      <c r="D77" s="233"/>
      <c r="E77" s="234"/>
      <c r="F77" s="234"/>
      <c r="G77" s="235"/>
      <c r="H77" s="235"/>
      <c r="I77" s="235"/>
      <c r="J77" s="235"/>
      <c r="K77" s="235"/>
      <c r="L77" s="235"/>
      <c r="M77" s="235"/>
      <c r="N77" s="235"/>
      <c r="O77" s="235"/>
      <c r="P77" s="235"/>
      <c r="Q77" s="235"/>
      <c r="R77" s="235"/>
      <c r="S77" s="235"/>
      <c r="T77" s="235"/>
      <c r="U77" s="235"/>
      <c r="V77" s="235"/>
      <c r="W77" s="235"/>
      <c r="X77" s="235"/>
      <c r="Y77" s="235"/>
      <c r="Z77" s="235"/>
      <c r="AA77" s="235"/>
      <c r="AB77" s="235"/>
      <c r="AC77" s="235"/>
      <c r="AD77" s="235"/>
      <c r="AE77" s="235"/>
      <c r="AF77" s="235"/>
      <c r="AG77" s="235"/>
      <c r="AH77" s="235"/>
      <c r="AI77" s="235"/>
      <c r="AJ77" s="235"/>
      <c r="AK77" s="235"/>
      <c r="AL77" s="235"/>
      <c r="AM77" s="235"/>
      <c r="AN77" s="235"/>
      <c r="AO77" s="23"/>
      <c r="AP77" s="141"/>
    </row>
    <row r="78" spans="1:42" s="104" customFormat="1" ht="4.5" customHeight="1" x14ac:dyDescent="0.25">
      <c r="A78" s="108"/>
      <c r="B78" s="148"/>
      <c r="C78" s="148"/>
      <c r="D78" s="148"/>
      <c r="E78" s="148"/>
      <c r="F78" s="109"/>
      <c r="G78" s="169"/>
      <c r="H78" s="169"/>
      <c r="I78" s="169"/>
      <c r="J78" s="236"/>
      <c r="K78" s="236"/>
      <c r="L78" s="236"/>
      <c r="M78" s="169"/>
      <c r="N78" s="169"/>
      <c r="O78" s="237"/>
      <c r="P78" s="237"/>
      <c r="Q78" s="237"/>
      <c r="R78" s="237"/>
      <c r="S78" s="237"/>
      <c r="T78" s="237"/>
      <c r="U78" s="111"/>
      <c r="V78" s="213"/>
      <c r="W78" s="213"/>
      <c r="X78" s="213"/>
      <c r="Y78" s="213"/>
      <c r="Z78" s="213"/>
      <c r="AA78" s="213"/>
      <c r="AB78" s="213"/>
      <c r="AC78" s="213"/>
      <c r="AD78" s="213"/>
      <c r="AE78" s="213"/>
      <c r="AF78" s="213"/>
      <c r="AG78" s="213"/>
      <c r="AH78" s="213"/>
      <c r="AI78" s="213"/>
      <c r="AJ78" s="213"/>
      <c r="AK78" s="213"/>
      <c r="AL78" s="213"/>
      <c r="AM78" s="213"/>
      <c r="AN78" s="213"/>
      <c r="AO78" s="213"/>
      <c r="AP78" s="141"/>
    </row>
    <row r="79" spans="1:42" s="104" customFormat="1" ht="18.75" customHeight="1" x14ac:dyDescent="0.25">
      <c r="A79" s="108"/>
      <c r="B79" s="510" t="s">
        <v>17</v>
      </c>
      <c r="C79" s="510"/>
      <c r="D79" s="510"/>
      <c r="E79" s="510"/>
      <c r="F79" s="510"/>
      <c r="G79" s="510"/>
      <c r="H79" s="510"/>
      <c r="I79" s="510"/>
      <c r="J79" s="510"/>
      <c r="K79" s="510"/>
      <c r="L79" s="510"/>
      <c r="M79" s="510"/>
      <c r="N79" s="510"/>
      <c r="O79" s="510"/>
      <c r="P79" s="510"/>
      <c r="Q79" s="510"/>
      <c r="R79" s="510"/>
      <c r="S79" s="510"/>
      <c r="T79" s="510"/>
      <c r="U79" s="510"/>
      <c r="V79" s="510"/>
      <c r="W79" s="510"/>
      <c r="X79" s="510"/>
      <c r="Y79" s="510"/>
      <c r="Z79" s="510"/>
      <c r="AA79" s="510"/>
      <c r="AB79" s="510"/>
      <c r="AC79" s="510"/>
      <c r="AD79" s="510"/>
      <c r="AE79" s="510"/>
      <c r="AF79" s="510"/>
      <c r="AG79" s="510"/>
      <c r="AH79" s="510"/>
      <c r="AI79" s="510"/>
      <c r="AJ79" s="510"/>
      <c r="AK79" s="510"/>
      <c r="AL79" s="510"/>
      <c r="AM79" s="510"/>
      <c r="AN79" s="510"/>
      <c r="AO79" s="510"/>
      <c r="AP79" s="141"/>
    </row>
    <row r="80" spans="1:42" s="104" customFormat="1" ht="13.5" x14ac:dyDescent="0.25">
      <c r="A80" s="108"/>
      <c r="B80" s="109"/>
      <c r="C80" s="109"/>
      <c r="D80" s="109"/>
      <c r="E80" s="109"/>
      <c r="F80" s="109"/>
      <c r="G80" s="109"/>
      <c r="H80" s="109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  <c r="X80" s="109"/>
      <c r="Y80" s="109"/>
      <c r="Z80" s="109"/>
      <c r="AA80" s="109"/>
      <c r="AB80" s="109"/>
      <c r="AC80" s="109"/>
      <c r="AD80" s="109"/>
      <c r="AE80" s="109"/>
      <c r="AF80" s="109"/>
      <c r="AG80" s="109"/>
      <c r="AH80" s="109"/>
      <c r="AI80" s="109"/>
      <c r="AJ80" s="109"/>
      <c r="AK80" s="109"/>
      <c r="AL80" s="109"/>
      <c r="AM80" s="109"/>
      <c r="AN80" s="109"/>
      <c r="AO80" s="109"/>
      <c r="AP80" s="141"/>
    </row>
    <row r="81" spans="1:42" s="104" customFormat="1" ht="15.75" customHeight="1" x14ac:dyDescent="0.25">
      <c r="A81" s="108"/>
      <c r="B81" s="548" t="s">
        <v>19</v>
      </c>
      <c r="C81" s="549"/>
      <c r="D81" s="549"/>
      <c r="E81" s="549"/>
      <c r="F81" s="549"/>
      <c r="G81" s="549"/>
      <c r="H81" s="549"/>
      <c r="I81" s="549"/>
      <c r="J81" s="549"/>
      <c r="K81" s="549"/>
      <c r="L81" s="549"/>
      <c r="M81" s="549"/>
      <c r="N81" s="549"/>
      <c r="O81" s="549"/>
      <c r="P81" s="549"/>
      <c r="Q81" s="549"/>
      <c r="R81" s="549"/>
      <c r="S81" s="549"/>
      <c r="T81" s="550"/>
      <c r="U81" s="109"/>
      <c r="V81" s="551" t="s">
        <v>501</v>
      </c>
      <c r="W81" s="507"/>
      <c r="X81" s="507"/>
      <c r="Y81" s="507"/>
      <c r="Z81" s="507"/>
      <c r="AA81" s="507"/>
      <c r="AB81" s="507"/>
      <c r="AC81" s="507"/>
      <c r="AD81" s="507"/>
      <c r="AE81" s="507"/>
      <c r="AF81" s="507"/>
      <c r="AG81" s="507"/>
      <c r="AH81" s="507"/>
      <c r="AI81" s="507"/>
      <c r="AJ81" s="507"/>
      <c r="AK81" s="507"/>
      <c r="AL81" s="507"/>
      <c r="AM81" s="507"/>
      <c r="AN81" s="507"/>
      <c r="AO81" s="552"/>
      <c r="AP81" s="241"/>
    </row>
    <row r="82" spans="1:42" s="104" customFormat="1" ht="2.25" customHeight="1" x14ac:dyDescent="0.25">
      <c r="A82" s="108"/>
      <c r="B82" s="242"/>
      <c r="C82" s="177"/>
      <c r="D82" s="177"/>
      <c r="E82" s="177"/>
      <c r="F82" s="177"/>
      <c r="G82" s="177"/>
      <c r="H82" s="177"/>
      <c r="I82" s="177"/>
      <c r="J82" s="177"/>
      <c r="K82" s="177"/>
      <c r="L82" s="177"/>
      <c r="M82" s="177"/>
      <c r="N82" s="177"/>
      <c r="O82" s="177"/>
      <c r="P82" s="177"/>
      <c r="Q82" s="177"/>
      <c r="R82" s="177"/>
      <c r="S82" s="177"/>
      <c r="T82" s="243"/>
      <c r="U82" s="109"/>
      <c r="V82" s="244"/>
      <c r="W82" s="245"/>
      <c r="X82" s="245"/>
      <c r="Y82" s="245"/>
      <c r="Z82" s="245"/>
      <c r="AA82" s="245"/>
      <c r="AB82" s="245"/>
      <c r="AC82" s="245"/>
      <c r="AD82" s="245"/>
      <c r="AE82" s="245"/>
      <c r="AF82" s="245"/>
      <c r="AG82" s="245"/>
      <c r="AH82" s="245"/>
      <c r="AI82" s="245"/>
      <c r="AJ82" s="245"/>
      <c r="AK82" s="245"/>
      <c r="AL82" s="245"/>
      <c r="AM82" s="245"/>
      <c r="AN82" s="245"/>
      <c r="AO82" s="246"/>
      <c r="AP82" s="241"/>
    </row>
    <row r="83" spans="1:42" s="253" customFormat="1" ht="11.25" customHeight="1" x14ac:dyDescent="0.25">
      <c r="A83" s="247"/>
      <c r="B83" s="248"/>
      <c r="C83" s="544" t="s">
        <v>558</v>
      </c>
      <c r="D83" s="544"/>
      <c r="E83" s="544"/>
      <c r="F83" s="544"/>
      <c r="G83" s="544"/>
      <c r="H83" s="544"/>
      <c r="I83" s="544"/>
      <c r="J83" s="166"/>
      <c r="K83" s="166"/>
      <c r="L83" s="511" t="s">
        <v>557</v>
      </c>
      <c r="M83" s="511"/>
      <c r="N83" s="511"/>
      <c r="O83" s="511"/>
      <c r="P83" s="511"/>
      <c r="Q83" s="511"/>
      <c r="R83" s="511"/>
      <c r="S83" s="249"/>
      <c r="T83" s="250"/>
      <c r="U83" s="251"/>
      <c r="V83" s="238"/>
      <c r="W83" s="507" t="s">
        <v>558</v>
      </c>
      <c r="X83" s="507"/>
      <c r="Y83" s="507"/>
      <c r="Z83" s="507"/>
      <c r="AA83" s="507"/>
      <c r="AB83" s="507"/>
      <c r="AC83" s="507"/>
      <c r="AD83" s="239"/>
      <c r="AE83" s="239"/>
      <c r="AF83" s="507" t="s">
        <v>557</v>
      </c>
      <c r="AG83" s="507"/>
      <c r="AH83" s="507"/>
      <c r="AI83" s="507"/>
      <c r="AJ83" s="507"/>
      <c r="AK83" s="507"/>
      <c r="AL83" s="507"/>
      <c r="AM83" s="239"/>
      <c r="AN83" s="239"/>
      <c r="AO83" s="240"/>
      <c r="AP83" s="252"/>
    </row>
    <row r="84" spans="1:42" s="104" customFormat="1" ht="3" customHeight="1" x14ac:dyDescent="0.3">
      <c r="A84" s="108"/>
      <c r="B84" s="254"/>
      <c r="C84" s="540"/>
      <c r="D84" s="540"/>
      <c r="E84" s="540"/>
      <c r="F84" s="540"/>
      <c r="G84" s="540"/>
      <c r="H84" s="539"/>
      <c r="I84" s="539"/>
      <c r="J84" s="255"/>
      <c r="K84" s="255"/>
      <c r="L84" s="140"/>
      <c r="M84" s="249"/>
      <c r="N84" s="140"/>
      <c r="O84" s="255"/>
      <c r="P84" s="255"/>
      <c r="Q84" s="255"/>
      <c r="R84" s="255"/>
      <c r="S84" s="256"/>
      <c r="T84" s="257"/>
      <c r="U84" s="256"/>
      <c r="V84" s="258"/>
      <c r="W84" s="143"/>
      <c r="X84" s="143"/>
      <c r="Y84" s="143"/>
      <c r="Z84" s="143"/>
      <c r="AA84" s="143"/>
      <c r="AB84" s="143"/>
      <c r="AC84" s="143"/>
      <c r="AD84" s="143"/>
      <c r="AE84" s="143"/>
      <c r="AF84" s="259"/>
      <c r="AG84" s="259"/>
      <c r="AH84" s="259"/>
      <c r="AI84" s="259"/>
      <c r="AJ84" s="259"/>
      <c r="AK84" s="259"/>
      <c r="AL84" s="259"/>
      <c r="AM84" s="259"/>
      <c r="AN84" s="259"/>
      <c r="AO84" s="260"/>
      <c r="AP84" s="141"/>
    </row>
    <row r="85" spans="1:42" s="104" customFormat="1" ht="13.5" customHeight="1" x14ac:dyDescent="0.3">
      <c r="A85" s="108"/>
      <c r="B85" s="261" t="s">
        <v>20</v>
      </c>
      <c r="C85" s="504" t="s">
        <v>579</v>
      </c>
      <c r="D85" s="504"/>
      <c r="E85" s="504"/>
      <c r="F85" s="504"/>
      <c r="G85" s="504"/>
      <c r="H85" s="504"/>
      <c r="I85" s="504"/>
      <c r="J85" s="504"/>
      <c r="K85" s="147" t="s">
        <v>1222</v>
      </c>
      <c r="M85" s="513" t="s">
        <v>559</v>
      </c>
      <c r="N85" s="513"/>
      <c r="O85" s="513"/>
      <c r="P85" s="513"/>
      <c r="Q85" s="513"/>
      <c r="R85" s="513"/>
      <c r="S85" s="262"/>
      <c r="T85" s="263"/>
      <c r="U85" s="264"/>
      <c r="V85" s="265" t="s">
        <v>20</v>
      </c>
      <c r="W85" s="524" t="s">
        <v>579</v>
      </c>
      <c r="X85" s="524"/>
      <c r="Y85" s="524"/>
      <c r="Z85" s="524"/>
      <c r="AA85" s="524"/>
      <c r="AB85" s="524"/>
      <c r="AC85" s="524"/>
      <c r="AD85" s="524"/>
      <c r="AE85" s="266"/>
      <c r="AF85" s="259"/>
      <c r="AG85" s="509" t="s">
        <v>559</v>
      </c>
      <c r="AH85" s="509"/>
      <c r="AI85" s="509"/>
      <c r="AJ85" s="509"/>
      <c r="AK85" s="509"/>
      <c r="AL85" s="509"/>
      <c r="AM85" s="267"/>
      <c r="AN85" s="268"/>
      <c r="AO85" s="260"/>
      <c r="AP85" s="141"/>
    </row>
    <row r="86" spans="1:42" s="104" customFormat="1" ht="11.25" customHeight="1" x14ac:dyDescent="0.25">
      <c r="A86" s="108"/>
      <c r="B86" s="261"/>
      <c r="C86" s="503" t="s">
        <v>1283</v>
      </c>
      <c r="D86" s="503"/>
      <c r="E86" s="503"/>
      <c r="F86" s="503"/>
      <c r="G86" s="503"/>
      <c r="H86" s="503"/>
      <c r="I86" s="503"/>
      <c r="J86" s="503"/>
      <c r="K86" s="115"/>
      <c r="L86" s="109"/>
      <c r="M86" s="109"/>
      <c r="N86" s="148" t="s">
        <v>563</v>
      </c>
      <c r="O86" s="498"/>
      <c r="P86" s="498"/>
      <c r="Q86" s="498"/>
      <c r="R86" s="498"/>
      <c r="S86" s="112"/>
      <c r="T86" s="124"/>
      <c r="U86" s="109"/>
      <c r="V86" s="269"/>
      <c r="W86" s="501" t="s">
        <v>1283</v>
      </c>
      <c r="X86" s="501"/>
      <c r="Y86" s="501"/>
      <c r="Z86" s="501"/>
      <c r="AA86" s="501"/>
      <c r="AB86" s="501"/>
      <c r="AC86" s="501"/>
      <c r="AD86" s="501"/>
      <c r="AE86" s="501"/>
      <c r="AF86" s="259"/>
      <c r="AG86" s="259"/>
      <c r="AH86" s="271" t="s">
        <v>563</v>
      </c>
      <c r="AI86" s="465"/>
      <c r="AJ86" s="465"/>
      <c r="AK86" s="465"/>
      <c r="AL86" s="465"/>
      <c r="AM86" s="272"/>
      <c r="AN86" s="272"/>
      <c r="AO86" s="260"/>
      <c r="AP86" s="141"/>
    </row>
    <row r="87" spans="1:42" s="104" customFormat="1" ht="3.75" customHeight="1" x14ac:dyDescent="0.3">
      <c r="A87" s="108"/>
      <c r="B87" s="261"/>
      <c r="C87" s="111"/>
      <c r="D87" s="111"/>
      <c r="E87" s="111"/>
      <c r="F87" s="111"/>
      <c r="G87" s="273"/>
      <c r="H87" s="273"/>
      <c r="I87" s="273"/>
      <c r="J87" s="273"/>
      <c r="K87" s="115"/>
      <c r="L87" s="249"/>
      <c r="M87" s="251"/>
      <c r="N87" s="251"/>
      <c r="O87" s="251"/>
      <c r="P87" s="251"/>
      <c r="Q87" s="251"/>
      <c r="R87" s="251"/>
      <c r="S87" s="116"/>
      <c r="T87" s="263"/>
      <c r="U87" s="264"/>
      <c r="V87" s="265"/>
      <c r="W87" s="272"/>
      <c r="X87" s="259"/>
      <c r="Y87" s="259"/>
      <c r="Z87" s="259"/>
      <c r="AA87" s="259"/>
      <c r="AB87" s="259"/>
      <c r="AC87" s="259"/>
      <c r="AD87" s="259"/>
      <c r="AE87" s="259"/>
      <c r="AF87" s="259"/>
      <c r="AG87" s="274"/>
      <c r="AH87" s="274"/>
      <c r="AI87" s="274"/>
      <c r="AJ87" s="274"/>
      <c r="AK87" s="274"/>
      <c r="AL87" s="274"/>
      <c r="AM87" s="274"/>
      <c r="AN87" s="274"/>
      <c r="AO87" s="260"/>
      <c r="AP87" s="141"/>
    </row>
    <row r="88" spans="1:42" s="104" customFormat="1" ht="12.95" customHeight="1" x14ac:dyDescent="0.3">
      <c r="A88" s="108"/>
      <c r="B88" s="261" t="s">
        <v>21</v>
      </c>
      <c r="C88" s="537" t="s">
        <v>581</v>
      </c>
      <c r="D88" s="537"/>
      <c r="E88" s="537"/>
      <c r="F88" s="537"/>
      <c r="G88" s="537"/>
      <c r="H88" s="537"/>
      <c r="I88" s="537"/>
      <c r="J88" s="537"/>
      <c r="K88" s="147" t="s">
        <v>1222</v>
      </c>
      <c r="M88" s="513" t="s">
        <v>661</v>
      </c>
      <c r="N88" s="513"/>
      <c r="O88" s="513"/>
      <c r="P88" s="513"/>
      <c r="Q88" s="513"/>
      <c r="R88" s="513"/>
      <c r="S88" s="262"/>
      <c r="T88" s="263"/>
      <c r="U88" s="264"/>
      <c r="V88" s="265" t="s">
        <v>21</v>
      </c>
      <c r="W88" s="501" t="s">
        <v>662</v>
      </c>
      <c r="X88" s="501"/>
      <c r="Y88" s="501"/>
      <c r="Z88" s="501"/>
      <c r="AA88" s="501"/>
      <c r="AB88" s="501"/>
      <c r="AC88" s="501"/>
      <c r="AD88" s="501"/>
      <c r="AE88" s="266"/>
      <c r="AF88" s="259"/>
      <c r="AG88" s="509" t="s">
        <v>599</v>
      </c>
      <c r="AH88" s="509"/>
      <c r="AI88" s="509"/>
      <c r="AJ88" s="509"/>
      <c r="AK88" s="509"/>
      <c r="AL88" s="509"/>
      <c r="AM88" s="267"/>
      <c r="AN88" s="268"/>
      <c r="AO88" s="260"/>
      <c r="AP88" s="141"/>
    </row>
    <row r="89" spans="1:42" s="104" customFormat="1" ht="5.25" customHeight="1" x14ac:dyDescent="0.3">
      <c r="A89" s="108"/>
      <c r="B89" s="261"/>
      <c r="C89" s="275"/>
      <c r="D89" s="275"/>
      <c r="E89" s="275"/>
      <c r="F89" s="275"/>
      <c r="G89" s="275"/>
      <c r="H89" s="275"/>
      <c r="I89" s="275"/>
      <c r="J89" s="275"/>
      <c r="K89" s="169"/>
      <c r="L89" s="276"/>
      <c r="M89" s="251"/>
      <c r="N89" s="251"/>
      <c r="O89" s="277"/>
      <c r="P89" s="251"/>
      <c r="Q89" s="251"/>
      <c r="R89" s="251"/>
      <c r="S89" s="116"/>
      <c r="T89" s="263"/>
      <c r="U89" s="264"/>
      <c r="V89" s="265"/>
      <c r="W89" s="270"/>
      <c r="X89" s="270"/>
      <c r="Y89" s="270"/>
      <c r="Z89" s="270"/>
      <c r="AA89" s="270"/>
      <c r="AB89" s="270"/>
      <c r="AC89" s="270"/>
      <c r="AD89" s="270"/>
      <c r="AE89" s="270"/>
      <c r="AF89" s="259"/>
      <c r="AG89" s="274"/>
      <c r="AH89" s="274"/>
      <c r="AI89" s="278"/>
      <c r="AJ89" s="278"/>
      <c r="AK89" s="274"/>
      <c r="AL89" s="274"/>
      <c r="AM89" s="274"/>
      <c r="AN89" s="274"/>
      <c r="AO89" s="260"/>
      <c r="AP89" s="141"/>
    </row>
    <row r="90" spans="1:42" s="104" customFormat="1" ht="12.95" customHeight="1" x14ac:dyDescent="0.3">
      <c r="A90" s="108"/>
      <c r="B90" s="261" t="s">
        <v>22</v>
      </c>
      <c r="C90" s="503" t="s">
        <v>660</v>
      </c>
      <c r="D90" s="503"/>
      <c r="E90" s="503"/>
      <c r="F90" s="503"/>
      <c r="G90" s="503"/>
      <c r="H90" s="503"/>
      <c r="I90" s="503"/>
      <c r="J90" s="503"/>
      <c r="K90" s="191" t="s">
        <v>1222</v>
      </c>
      <c r="L90" s="276"/>
      <c r="M90" s="555" t="s">
        <v>561</v>
      </c>
      <c r="N90" s="555"/>
      <c r="O90" s="555"/>
      <c r="P90" s="555"/>
      <c r="Q90" s="555"/>
      <c r="R90" s="555"/>
      <c r="S90" s="262"/>
      <c r="T90" s="263"/>
      <c r="U90" s="264"/>
      <c r="V90" s="265" t="s">
        <v>22</v>
      </c>
      <c r="W90" s="501" t="s">
        <v>660</v>
      </c>
      <c r="X90" s="501"/>
      <c r="Y90" s="501"/>
      <c r="Z90" s="501"/>
      <c r="AA90" s="501"/>
      <c r="AB90" s="501"/>
      <c r="AC90" s="501"/>
      <c r="AD90" s="501"/>
      <c r="AE90" s="266"/>
      <c r="AF90" s="259"/>
      <c r="AG90" s="556" t="s">
        <v>561</v>
      </c>
      <c r="AH90" s="556"/>
      <c r="AI90" s="556"/>
      <c r="AJ90" s="556"/>
      <c r="AK90" s="556"/>
      <c r="AL90" s="556"/>
      <c r="AM90" s="259"/>
      <c r="AN90" s="266"/>
      <c r="AO90" s="260"/>
      <c r="AP90" s="141"/>
    </row>
    <row r="91" spans="1:42" s="104" customFormat="1" ht="3.75" customHeight="1" x14ac:dyDescent="0.3">
      <c r="A91" s="108"/>
      <c r="B91" s="261"/>
      <c r="C91" s="275"/>
      <c r="D91" s="275"/>
      <c r="E91" s="275"/>
      <c r="F91" s="275"/>
      <c r="G91" s="275"/>
      <c r="H91" s="275"/>
      <c r="I91" s="275"/>
      <c r="J91" s="275"/>
      <c r="K91" s="275"/>
      <c r="L91" s="276"/>
      <c r="M91" s="249"/>
      <c r="N91" s="249"/>
      <c r="O91" s="279"/>
      <c r="P91" s="249"/>
      <c r="Q91" s="249"/>
      <c r="R91" s="249"/>
      <c r="S91" s="116"/>
      <c r="T91" s="263"/>
      <c r="U91" s="264"/>
      <c r="V91" s="265"/>
      <c r="W91" s="270"/>
      <c r="X91" s="270"/>
      <c r="Y91" s="270"/>
      <c r="Z91" s="270"/>
      <c r="AA91" s="270"/>
      <c r="AB91" s="270"/>
      <c r="AC91" s="270"/>
      <c r="AD91" s="270"/>
      <c r="AE91" s="270"/>
      <c r="AF91" s="259"/>
      <c r="AG91" s="280"/>
      <c r="AH91" s="280"/>
      <c r="AI91" s="281"/>
      <c r="AJ91" s="281"/>
      <c r="AK91" s="280"/>
      <c r="AL91" s="280"/>
      <c r="AM91" s="280"/>
      <c r="AN91" s="280"/>
      <c r="AO91" s="260"/>
      <c r="AP91" s="141"/>
    </row>
    <row r="92" spans="1:42" s="104" customFormat="1" ht="12.95" customHeight="1" x14ac:dyDescent="0.3">
      <c r="A92" s="108"/>
      <c r="B92" s="120" t="s">
        <v>580</v>
      </c>
      <c r="C92" s="537" t="s">
        <v>560</v>
      </c>
      <c r="D92" s="537"/>
      <c r="E92" s="537"/>
      <c r="F92" s="537"/>
      <c r="G92" s="537"/>
      <c r="H92" s="537"/>
      <c r="I92" s="537"/>
      <c r="J92" s="537"/>
      <c r="K92" s="191" t="s">
        <v>1222</v>
      </c>
      <c r="L92" s="249"/>
      <c r="M92" s="503" t="s">
        <v>1268</v>
      </c>
      <c r="N92" s="503"/>
      <c r="O92" s="503"/>
      <c r="P92" s="503"/>
      <c r="Q92" s="503"/>
      <c r="R92" s="503"/>
      <c r="S92" s="262"/>
      <c r="T92" s="263"/>
      <c r="U92" s="264"/>
      <c r="V92" s="265" t="s">
        <v>23</v>
      </c>
      <c r="W92" s="500" t="s">
        <v>560</v>
      </c>
      <c r="X92" s="500"/>
      <c r="Y92" s="500"/>
      <c r="Z92" s="500"/>
      <c r="AA92" s="500"/>
      <c r="AB92" s="500"/>
      <c r="AC92" s="500"/>
      <c r="AD92" s="500"/>
      <c r="AE92" s="266"/>
      <c r="AF92" s="259"/>
      <c r="AG92" s="501" t="s">
        <v>1268</v>
      </c>
      <c r="AH92" s="501"/>
      <c r="AI92" s="501"/>
      <c r="AJ92" s="501"/>
      <c r="AK92" s="501"/>
      <c r="AL92" s="501"/>
      <c r="AM92" s="270"/>
      <c r="AN92" s="266"/>
      <c r="AO92" s="260"/>
      <c r="AP92" s="141"/>
    </row>
    <row r="93" spans="1:42" s="104" customFormat="1" ht="13.5" customHeight="1" x14ac:dyDescent="0.3">
      <c r="A93" s="108"/>
      <c r="B93" s="120"/>
      <c r="C93" s="537"/>
      <c r="D93" s="537"/>
      <c r="E93" s="537"/>
      <c r="F93" s="537"/>
      <c r="G93" s="537"/>
      <c r="H93" s="275"/>
      <c r="I93" s="275"/>
      <c r="J93" s="275"/>
      <c r="K93" s="275"/>
      <c r="L93" s="249"/>
      <c r="M93" s="502" t="s">
        <v>562</v>
      </c>
      <c r="N93" s="502"/>
      <c r="O93" s="502"/>
      <c r="P93" s="502"/>
      <c r="Q93" s="282"/>
      <c r="R93" s="249"/>
      <c r="S93" s="264"/>
      <c r="T93" s="263"/>
      <c r="U93" s="264"/>
      <c r="V93" s="265" t="s">
        <v>24</v>
      </c>
      <c r="W93" s="501" t="s">
        <v>564</v>
      </c>
      <c r="X93" s="501"/>
      <c r="Y93" s="501"/>
      <c r="Z93" s="501"/>
      <c r="AA93" s="501"/>
      <c r="AB93" s="501"/>
      <c r="AC93" s="501"/>
      <c r="AD93" s="501"/>
      <c r="AE93" s="270"/>
      <c r="AF93" s="259"/>
      <c r="AG93" s="538" t="s">
        <v>562</v>
      </c>
      <c r="AH93" s="538"/>
      <c r="AI93" s="538"/>
      <c r="AJ93" s="538"/>
      <c r="AK93" s="538"/>
      <c r="AL93" s="280"/>
      <c r="AM93" s="280"/>
      <c r="AN93" s="280"/>
      <c r="AO93" s="260"/>
      <c r="AP93" s="141"/>
    </row>
    <row r="94" spans="1:42" s="104" customFormat="1" ht="12.95" customHeight="1" x14ac:dyDescent="0.3">
      <c r="A94" s="108"/>
      <c r="B94" s="120"/>
      <c r="C94" s="275"/>
      <c r="D94" s="275"/>
      <c r="E94" s="275"/>
      <c r="F94" s="275"/>
      <c r="G94" s="275"/>
      <c r="H94" s="275"/>
      <c r="I94" s="275"/>
      <c r="J94" s="275"/>
      <c r="K94" s="275"/>
      <c r="L94" s="249"/>
      <c r="M94" s="502" t="s">
        <v>1266</v>
      </c>
      <c r="N94" s="502"/>
      <c r="O94" s="502"/>
      <c r="P94" s="502"/>
      <c r="Q94" s="502"/>
      <c r="R94" s="502"/>
      <c r="S94" s="283"/>
      <c r="T94" s="263"/>
      <c r="U94" s="264"/>
      <c r="V94" s="265"/>
      <c r="W94" s="501"/>
      <c r="X94" s="501"/>
      <c r="Y94" s="501"/>
      <c r="Z94" s="501"/>
      <c r="AA94" s="501"/>
      <c r="AB94" s="501"/>
      <c r="AC94" s="501"/>
      <c r="AD94" s="501"/>
      <c r="AE94" s="266"/>
      <c r="AF94" s="259"/>
      <c r="AG94" s="501" t="s">
        <v>1266</v>
      </c>
      <c r="AH94" s="501"/>
      <c r="AI94" s="501"/>
      <c r="AJ94" s="501"/>
      <c r="AK94" s="501"/>
      <c r="AL94" s="501"/>
      <c r="AM94" s="259"/>
      <c r="AN94" s="266"/>
      <c r="AO94" s="284"/>
      <c r="AP94" s="141"/>
    </row>
    <row r="95" spans="1:42" s="104" customFormat="1" ht="4.5" customHeight="1" x14ac:dyDescent="0.3">
      <c r="A95" s="108"/>
      <c r="B95" s="120"/>
      <c r="C95" s="275"/>
      <c r="D95" s="275"/>
      <c r="E95" s="275"/>
      <c r="F95" s="275"/>
      <c r="G95" s="275"/>
      <c r="H95" s="275"/>
      <c r="I95" s="275"/>
      <c r="J95" s="275"/>
      <c r="K95" s="275"/>
      <c r="L95" s="249"/>
      <c r="M95" s="282"/>
      <c r="N95" s="282"/>
      <c r="O95" s="282"/>
      <c r="P95" s="282"/>
      <c r="Q95" s="282"/>
      <c r="R95" s="249"/>
      <c r="S95" s="264"/>
      <c r="T95" s="263"/>
      <c r="U95" s="264"/>
      <c r="V95" s="265"/>
      <c r="W95" s="270"/>
      <c r="X95" s="270"/>
      <c r="Y95" s="270"/>
      <c r="Z95" s="270"/>
      <c r="AA95" s="270"/>
      <c r="AB95" s="270"/>
      <c r="AC95" s="270"/>
      <c r="AD95" s="270"/>
      <c r="AE95" s="285"/>
      <c r="AF95" s="259"/>
      <c r="AG95" s="270"/>
      <c r="AH95" s="270"/>
      <c r="AI95" s="270"/>
      <c r="AJ95" s="270"/>
      <c r="AK95" s="270"/>
      <c r="AL95" s="270"/>
      <c r="AM95" s="259"/>
      <c r="AN95" s="285"/>
      <c r="AO95" s="284"/>
      <c r="AP95" s="141"/>
    </row>
    <row r="96" spans="1:42" s="104" customFormat="1" ht="12.75" customHeight="1" x14ac:dyDescent="0.3">
      <c r="A96" s="108"/>
      <c r="B96" s="120"/>
      <c r="C96" s="275"/>
      <c r="D96" s="275"/>
      <c r="E96" s="503"/>
      <c r="F96" s="503"/>
      <c r="G96" s="503"/>
      <c r="H96" s="503"/>
      <c r="I96" s="503"/>
      <c r="J96" s="503"/>
      <c r="K96" s="503"/>
      <c r="L96" s="503"/>
      <c r="M96" s="502" t="s">
        <v>1267</v>
      </c>
      <c r="N96" s="502"/>
      <c r="O96" s="502"/>
      <c r="P96" s="502"/>
      <c r="Q96" s="502"/>
      <c r="R96" s="502"/>
      <c r="S96" s="283"/>
      <c r="T96" s="263"/>
      <c r="U96" s="264"/>
      <c r="V96" s="265"/>
      <c r="W96" s="501"/>
      <c r="X96" s="501"/>
      <c r="Y96" s="501"/>
      <c r="Z96" s="501"/>
      <c r="AA96" s="501"/>
      <c r="AB96" s="501"/>
      <c r="AC96" s="501"/>
      <c r="AD96" s="501"/>
      <c r="AE96" s="272"/>
      <c r="AF96" s="259"/>
      <c r="AG96" s="538" t="s">
        <v>1267</v>
      </c>
      <c r="AH96" s="538"/>
      <c r="AI96" s="538"/>
      <c r="AJ96" s="538"/>
      <c r="AK96" s="538"/>
      <c r="AL96" s="538"/>
      <c r="AM96" s="259"/>
      <c r="AN96" s="266"/>
      <c r="AO96" s="284"/>
      <c r="AP96" s="141"/>
    </row>
    <row r="97" spans="1:42" s="104" customFormat="1" ht="3.75" customHeight="1" x14ac:dyDescent="0.3">
      <c r="A97" s="108"/>
      <c r="B97" s="120"/>
      <c r="C97" s="275"/>
      <c r="D97" s="275"/>
      <c r="E97" s="275"/>
      <c r="F97" s="275"/>
      <c r="G97" s="275"/>
      <c r="H97" s="275"/>
      <c r="I97" s="275"/>
      <c r="J97" s="275"/>
      <c r="K97" s="275"/>
      <c r="L97" s="249"/>
      <c r="M97" s="282"/>
      <c r="N97" s="282"/>
      <c r="O97" s="282"/>
      <c r="P97" s="282"/>
      <c r="Q97" s="282"/>
      <c r="R97" s="249"/>
      <c r="S97" s="264"/>
      <c r="T97" s="263"/>
      <c r="U97" s="264"/>
      <c r="V97" s="286"/>
      <c r="W97" s="259"/>
      <c r="X97" s="259"/>
      <c r="Y97" s="259"/>
      <c r="Z97" s="259"/>
      <c r="AA97" s="259"/>
      <c r="AB97" s="259"/>
      <c r="AC97" s="259"/>
      <c r="AD97" s="259"/>
      <c r="AE97" s="259"/>
      <c r="AF97" s="259"/>
      <c r="AG97" s="259"/>
      <c r="AH97" s="259"/>
      <c r="AI97" s="259"/>
      <c r="AJ97" s="270"/>
      <c r="AK97" s="270"/>
      <c r="AL97" s="270"/>
      <c r="AM97" s="270"/>
      <c r="AN97" s="270"/>
      <c r="AO97" s="287"/>
      <c r="AP97" s="141"/>
    </row>
    <row r="98" spans="1:42" s="104" customFormat="1" ht="20.25" customHeight="1" x14ac:dyDescent="0.3">
      <c r="A98" s="108"/>
      <c r="B98" s="120"/>
      <c r="C98" s="275"/>
      <c r="D98" s="275"/>
      <c r="E98" s="275"/>
      <c r="F98" s="275"/>
      <c r="G98" s="275"/>
      <c r="H98" s="275"/>
      <c r="I98" s="275"/>
      <c r="J98" s="275"/>
      <c r="K98" s="275"/>
      <c r="L98" s="249"/>
      <c r="M98" s="502"/>
      <c r="N98" s="502"/>
      <c r="O98" s="502"/>
      <c r="P98" s="502"/>
      <c r="Q98" s="502"/>
      <c r="R98" s="502"/>
      <c r="S98" s="264"/>
      <c r="T98" s="263"/>
      <c r="U98" s="264"/>
      <c r="V98" s="288"/>
      <c r="W98" s="525"/>
      <c r="X98" s="525"/>
      <c r="Y98" s="525"/>
      <c r="Z98" s="525"/>
      <c r="AA98" s="525"/>
      <c r="AB98" s="525"/>
      <c r="AC98" s="525"/>
      <c r="AD98" s="525"/>
      <c r="AE98" s="272"/>
      <c r="AF98" s="259"/>
      <c r="AG98" s="524" t="s">
        <v>600</v>
      </c>
      <c r="AH98" s="524"/>
      <c r="AI98" s="524"/>
      <c r="AJ98" s="524"/>
      <c r="AK98" s="524"/>
      <c r="AL98" s="259"/>
      <c r="AM98" s="259"/>
      <c r="AN98" s="289"/>
      <c r="AO98" s="287"/>
      <c r="AP98" s="141"/>
    </row>
    <row r="99" spans="1:42" s="104" customFormat="1" ht="20.25" customHeight="1" x14ac:dyDescent="0.3">
      <c r="A99" s="108"/>
      <c r="B99" s="120"/>
      <c r="C99" s="275"/>
      <c r="D99" s="275"/>
      <c r="E99" s="275"/>
      <c r="F99" s="275"/>
      <c r="G99" s="275"/>
      <c r="H99" s="275"/>
      <c r="I99" s="275"/>
      <c r="J99" s="275"/>
      <c r="K99" s="275"/>
      <c r="L99" s="249"/>
      <c r="M99" s="282"/>
      <c r="N99" s="282"/>
      <c r="O99" s="282"/>
      <c r="P99" s="282"/>
      <c r="Q99" s="282"/>
      <c r="R99" s="282"/>
      <c r="S99" s="264"/>
      <c r="T99" s="263"/>
      <c r="U99" s="264"/>
      <c r="V99" s="288"/>
      <c r="W99" s="500"/>
      <c r="X99" s="500"/>
      <c r="Y99" s="500"/>
      <c r="Z99" s="500"/>
      <c r="AA99" s="500"/>
      <c r="AB99" s="500"/>
      <c r="AC99" s="500"/>
      <c r="AD99" s="500"/>
      <c r="AE99" s="272"/>
      <c r="AF99" s="259"/>
      <c r="AG99" s="272"/>
      <c r="AH99" s="272"/>
      <c r="AI99" s="272"/>
      <c r="AJ99" s="272"/>
      <c r="AK99" s="272"/>
      <c r="AL99" s="259"/>
      <c r="AM99" s="259"/>
      <c r="AN99" s="259"/>
      <c r="AO99" s="287"/>
      <c r="AP99" s="141"/>
    </row>
    <row r="100" spans="1:42" s="104" customFormat="1" ht="22.5" customHeight="1" x14ac:dyDescent="0.25">
      <c r="A100" s="108"/>
      <c r="B100" s="130"/>
      <c r="C100" s="157"/>
      <c r="D100" s="157"/>
      <c r="E100" s="157"/>
      <c r="F100" s="157"/>
      <c r="G100" s="157"/>
      <c r="H100" s="157"/>
      <c r="I100" s="157"/>
      <c r="J100" s="157"/>
      <c r="K100" s="157"/>
      <c r="L100" s="157"/>
      <c r="M100" s="157"/>
      <c r="N100" s="157"/>
      <c r="O100" s="157"/>
      <c r="P100" s="157"/>
      <c r="Q100" s="157"/>
      <c r="R100" s="157"/>
      <c r="S100" s="157"/>
      <c r="T100" s="158"/>
      <c r="U100" s="109"/>
      <c r="V100" s="291"/>
      <c r="W100" s="499"/>
      <c r="X100" s="499"/>
      <c r="Y100" s="499"/>
      <c r="Z100" s="499"/>
      <c r="AA100" s="499"/>
      <c r="AB100" s="499"/>
      <c r="AC100" s="499"/>
      <c r="AD100" s="499"/>
      <c r="AE100" s="353"/>
      <c r="AF100" s="157"/>
      <c r="AG100" s="157"/>
      <c r="AH100" s="157"/>
      <c r="AI100" s="157"/>
      <c r="AJ100" s="157"/>
      <c r="AK100" s="157"/>
      <c r="AL100" s="157"/>
      <c r="AM100" s="157"/>
      <c r="AN100" s="157"/>
      <c r="AO100" s="158"/>
      <c r="AP100" s="141"/>
    </row>
    <row r="101" spans="1:42" s="104" customFormat="1" ht="13.5" customHeight="1" x14ac:dyDescent="0.25">
      <c r="A101" s="108"/>
      <c r="B101" s="109"/>
      <c r="C101" s="109"/>
      <c r="D101" s="109"/>
      <c r="E101" s="109"/>
      <c r="F101" s="109"/>
      <c r="G101" s="109"/>
      <c r="H101" s="109"/>
      <c r="I101" s="109"/>
      <c r="J101" s="109"/>
      <c r="K101" s="109"/>
      <c r="L101" s="109"/>
      <c r="M101" s="109"/>
      <c r="N101" s="109"/>
      <c r="O101" s="109"/>
      <c r="P101" s="109"/>
      <c r="Q101" s="109"/>
      <c r="R101" s="109"/>
      <c r="S101" s="109"/>
      <c r="T101" s="109"/>
      <c r="U101" s="109"/>
      <c r="V101" s="109"/>
      <c r="W101" s="109"/>
      <c r="X101" s="109"/>
      <c r="Y101" s="109"/>
      <c r="Z101" s="109"/>
      <c r="AA101" s="109"/>
      <c r="AB101" s="109"/>
      <c r="AC101" s="109"/>
      <c r="AD101" s="109"/>
      <c r="AE101" s="109"/>
      <c r="AF101" s="109"/>
      <c r="AG101" s="109"/>
      <c r="AH101" s="109"/>
      <c r="AI101" s="109"/>
      <c r="AJ101" s="109"/>
      <c r="AK101" s="109"/>
      <c r="AL101" s="109"/>
      <c r="AM101" s="109"/>
      <c r="AN101" s="109"/>
      <c r="AO101" s="109"/>
      <c r="AP101" s="141"/>
    </row>
    <row r="102" spans="1:42" s="104" customFormat="1" ht="4.5" customHeight="1" x14ac:dyDescent="0.25">
      <c r="A102" s="108"/>
      <c r="B102" s="109"/>
      <c r="C102" s="182"/>
      <c r="D102" s="182"/>
      <c r="E102" s="182"/>
      <c r="F102" s="182"/>
      <c r="G102" s="182"/>
      <c r="H102" s="182"/>
      <c r="I102" s="182"/>
      <c r="J102" s="182"/>
      <c r="K102" s="182"/>
      <c r="M102" s="292"/>
      <c r="N102" s="292"/>
      <c r="O102" s="292"/>
      <c r="P102" s="293"/>
      <c r="Q102" s="293"/>
      <c r="R102" s="293"/>
      <c r="S102" s="293"/>
      <c r="T102" s="293"/>
      <c r="U102" s="293"/>
      <c r="V102" s="293"/>
      <c r="W102" s="293"/>
      <c r="X102" s="294"/>
      <c r="Y102" s="294"/>
      <c r="Z102" s="294"/>
      <c r="AA102" s="294"/>
      <c r="AB102" s="295"/>
      <c r="AC102" s="295"/>
      <c r="AD102" s="295"/>
      <c r="AE102" s="182"/>
      <c r="AF102" s="182"/>
      <c r="AG102" s="182"/>
      <c r="AH102" s="182"/>
      <c r="AI102" s="182"/>
      <c r="AJ102" s="182"/>
      <c r="AK102" s="182"/>
      <c r="AL102" s="182"/>
      <c r="AM102" s="182"/>
      <c r="AN102" s="182"/>
      <c r="AO102" s="109"/>
      <c r="AP102" s="141"/>
    </row>
    <row r="103" spans="1:42" s="104" customFormat="1" ht="21" customHeight="1" x14ac:dyDescent="0.25">
      <c r="A103" s="108"/>
      <c r="B103" s="526" t="s">
        <v>503</v>
      </c>
      <c r="C103" s="527"/>
      <c r="D103" s="527"/>
      <c r="E103" s="527"/>
      <c r="F103" s="527"/>
      <c r="G103" s="527"/>
      <c r="H103" s="527"/>
      <c r="I103" s="527"/>
      <c r="J103" s="527"/>
      <c r="K103" s="527"/>
      <c r="L103" s="527"/>
      <c r="M103" s="527"/>
      <c r="N103" s="527"/>
      <c r="O103" s="527"/>
      <c r="P103" s="527"/>
      <c r="Q103" s="527"/>
      <c r="R103" s="527"/>
      <c r="S103" s="527"/>
      <c r="T103" s="528"/>
      <c r="U103" s="296"/>
      <c r="V103" s="495" t="s">
        <v>25</v>
      </c>
      <c r="W103" s="496"/>
      <c r="X103" s="496"/>
      <c r="Y103" s="496"/>
      <c r="Z103" s="496"/>
      <c r="AA103" s="496"/>
      <c r="AB103" s="496"/>
      <c r="AC103" s="496"/>
      <c r="AD103" s="496"/>
      <c r="AE103" s="496"/>
      <c r="AF103" s="496"/>
      <c r="AG103" s="496"/>
      <c r="AH103" s="496"/>
      <c r="AI103" s="496"/>
      <c r="AJ103" s="496"/>
      <c r="AK103" s="496"/>
      <c r="AL103" s="496"/>
      <c r="AM103" s="496"/>
      <c r="AN103" s="496"/>
      <c r="AO103" s="497"/>
      <c r="AP103" s="297"/>
    </row>
    <row r="104" spans="1:42" s="104" customFormat="1" ht="59.25" customHeight="1" x14ac:dyDescent="0.25">
      <c r="A104" s="108"/>
      <c r="B104" s="557" t="s">
        <v>11</v>
      </c>
      <c r="C104" s="558"/>
      <c r="D104" s="558"/>
      <c r="E104" s="558"/>
      <c r="F104" s="558"/>
      <c r="G104" s="558"/>
      <c r="H104" s="558"/>
      <c r="I104" s="558"/>
      <c r="J104" s="558"/>
      <c r="K104" s="558"/>
      <c r="L104" s="558"/>
      <c r="M104" s="558"/>
      <c r="N104" s="558"/>
      <c r="O104" s="558"/>
      <c r="P104" s="558"/>
      <c r="Q104" s="558"/>
      <c r="R104" s="558"/>
      <c r="S104" s="558"/>
      <c r="T104" s="559"/>
      <c r="U104" s="296"/>
      <c r="V104" s="341"/>
      <c r="W104" s="348" t="s">
        <v>26</v>
      </c>
      <c r="X104" s="348"/>
      <c r="Y104" s="348"/>
      <c r="Z104" s="348"/>
      <c r="AA104" s="348"/>
      <c r="AB104" s="348"/>
      <c r="AC104" s="348"/>
      <c r="AD104" s="348"/>
      <c r="AE104" s="349"/>
      <c r="AF104" s="349"/>
      <c r="AG104" s="349"/>
      <c r="AH104" s="349"/>
      <c r="AI104" s="349"/>
      <c r="AJ104" s="349"/>
      <c r="AK104" s="349"/>
      <c r="AL104" s="349"/>
      <c r="AM104" s="342"/>
      <c r="AN104" s="342"/>
      <c r="AO104" s="298"/>
      <c r="AP104" s="297"/>
    </row>
    <row r="105" spans="1:42" s="104" customFormat="1" ht="7.5" customHeight="1" x14ac:dyDescent="0.25">
      <c r="A105" s="108"/>
      <c r="B105" s="269"/>
      <c r="C105" s="546"/>
      <c r="D105" s="546"/>
      <c r="E105" s="546"/>
      <c r="F105" s="299"/>
      <c r="G105" s="547"/>
      <c r="H105" s="547"/>
      <c r="I105" s="547"/>
      <c r="J105" s="547"/>
      <c r="K105" s="547"/>
      <c r="L105" s="547"/>
      <c r="M105" s="547"/>
      <c r="N105" s="547"/>
      <c r="O105" s="547"/>
      <c r="P105" s="547"/>
      <c r="Q105" s="547"/>
      <c r="R105" s="547"/>
      <c r="S105" s="300"/>
      <c r="T105" s="301"/>
      <c r="U105" s="296"/>
      <c r="V105" s="343"/>
      <c r="W105" s="344"/>
      <c r="X105" s="345"/>
      <c r="Y105" s="345"/>
      <c r="Z105" s="345"/>
      <c r="AA105" s="345"/>
      <c r="AB105" s="346"/>
      <c r="AC105" s="346"/>
      <c r="AD105" s="346"/>
      <c r="AE105" s="347"/>
      <c r="AF105" s="347"/>
      <c r="AG105" s="346"/>
      <c r="AH105" s="346"/>
      <c r="AI105" s="346"/>
      <c r="AJ105" s="346"/>
      <c r="AK105" s="346"/>
      <c r="AL105" s="346"/>
      <c r="AM105" s="346"/>
      <c r="AN105" s="346"/>
      <c r="AO105" s="284"/>
      <c r="AP105" s="297"/>
    </row>
    <row r="106" spans="1:42" s="104" customFormat="1" ht="11.25" customHeight="1" x14ac:dyDescent="0.25">
      <c r="A106" s="108"/>
      <c r="B106" s="269"/>
      <c r="C106" s="274" t="s">
        <v>27</v>
      </c>
      <c r="D106" s="274"/>
      <c r="E106" s="274"/>
      <c r="F106" s="274"/>
      <c r="G106" s="491" t="s">
        <v>1290</v>
      </c>
      <c r="H106" s="491"/>
      <c r="I106" s="491"/>
      <c r="J106" s="491"/>
      <c r="K106" s="491"/>
      <c r="L106" s="491"/>
      <c r="M106" s="491"/>
      <c r="N106" s="491"/>
      <c r="O106" s="491"/>
      <c r="P106" s="491"/>
      <c r="Q106" s="491"/>
      <c r="R106" s="491"/>
      <c r="S106" s="280"/>
      <c r="T106" s="302"/>
      <c r="U106" s="303"/>
      <c r="V106" s="350" t="s">
        <v>37</v>
      </c>
      <c r="W106" s="351"/>
      <c r="X106" s="304"/>
      <c r="Y106" s="304"/>
      <c r="Z106" s="304"/>
      <c r="AA106" s="304"/>
      <c r="AB106" s="304"/>
      <c r="AC106" s="304"/>
      <c r="AD106" s="304"/>
      <c r="AE106" s="352"/>
      <c r="AF106" s="352"/>
      <c r="AG106" s="304"/>
      <c r="AH106" s="304"/>
      <c r="AI106" s="304"/>
      <c r="AJ106" s="304"/>
      <c r="AK106" s="304"/>
      <c r="AL106" s="304"/>
      <c r="AM106" s="285"/>
      <c r="AN106" s="285"/>
      <c r="AO106" s="305"/>
      <c r="AP106" s="297"/>
    </row>
    <row r="107" spans="1:42" s="104" customFormat="1" ht="21" customHeight="1" x14ac:dyDescent="0.25">
      <c r="A107" s="108"/>
      <c r="B107" s="269"/>
      <c r="C107" s="274" t="s">
        <v>491</v>
      </c>
      <c r="D107" s="259"/>
      <c r="E107" s="259"/>
      <c r="F107" s="259"/>
      <c r="G107" s="290"/>
      <c r="H107" s="494"/>
      <c r="I107" s="494"/>
      <c r="J107" s="494"/>
      <c r="K107" s="494"/>
      <c r="L107" s="494"/>
      <c r="M107" s="494"/>
      <c r="N107" s="494"/>
      <c r="O107" s="494"/>
      <c r="P107" s="494"/>
      <c r="Q107" s="494"/>
      <c r="R107" s="494"/>
      <c r="S107" s="272"/>
      <c r="T107" s="306"/>
      <c r="U107" s="307"/>
      <c r="V107" s="339"/>
      <c r="W107" s="340"/>
      <c r="X107" s="340"/>
      <c r="Y107" s="340"/>
      <c r="Z107" s="340"/>
      <c r="AA107" s="340"/>
      <c r="AB107" s="340"/>
      <c r="AC107" s="340"/>
      <c r="AD107" s="340"/>
      <c r="AE107" s="340"/>
      <c r="AF107" s="340"/>
      <c r="AG107" s="307"/>
      <c r="AH107" s="307"/>
      <c r="AI107" s="307"/>
      <c r="AJ107" s="307"/>
      <c r="AK107" s="307"/>
      <c r="AL107" s="307"/>
      <c r="AM107" s="307"/>
      <c r="AN107" s="307"/>
      <c r="AO107" s="305"/>
      <c r="AP107" s="297"/>
    </row>
    <row r="108" spans="1:42" s="104" customFormat="1" ht="16.5" customHeight="1" x14ac:dyDescent="0.25">
      <c r="A108" s="108"/>
      <c r="B108" s="269"/>
      <c r="C108" s="274"/>
      <c r="D108" s="259"/>
      <c r="E108" s="259"/>
      <c r="F108" s="259"/>
      <c r="G108" s="259"/>
      <c r="H108" s="492"/>
      <c r="I108" s="492"/>
      <c r="J108" s="492"/>
      <c r="K108" s="492"/>
      <c r="L108" s="492"/>
      <c r="M108" s="492"/>
      <c r="N108" s="492"/>
      <c r="O108" s="492"/>
      <c r="P108" s="492"/>
      <c r="Q108" s="492"/>
      <c r="R108" s="492"/>
      <c r="S108" s="272"/>
      <c r="T108" s="302"/>
      <c r="U108" s="303"/>
      <c r="V108" s="350" t="s">
        <v>1269</v>
      </c>
      <c r="W108" s="351"/>
      <c r="X108" s="304"/>
      <c r="Y108" s="304"/>
      <c r="Z108" s="304"/>
      <c r="AA108" s="304"/>
      <c r="AB108" s="304"/>
      <c r="AC108" s="304"/>
      <c r="AD108" s="304"/>
      <c r="AE108" s="352"/>
      <c r="AF108" s="352"/>
      <c r="AG108" s="304"/>
      <c r="AH108" s="304"/>
      <c r="AI108" s="304"/>
      <c r="AJ108" s="304"/>
      <c r="AK108" s="304"/>
      <c r="AL108" s="304"/>
      <c r="AM108" s="285"/>
      <c r="AN108" s="285"/>
      <c r="AO108" s="260"/>
      <c r="AP108" s="297"/>
    </row>
    <row r="109" spans="1:42" s="104" customFormat="1" ht="21" customHeight="1" x14ac:dyDescent="0.25">
      <c r="A109" s="108"/>
      <c r="B109" s="488"/>
      <c r="C109" s="489"/>
      <c r="D109" s="489"/>
      <c r="E109" s="489"/>
      <c r="F109" s="489"/>
      <c r="G109" s="489"/>
      <c r="H109" s="489"/>
      <c r="I109" s="489"/>
      <c r="J109" s="489"/>
      <c r="K109" s="489"/>
      <c r="L109" s="489"/>
      <c r="M109" s="489"/>
      <c r="N109" s="489"/>
      <c r="O109" s="489"/>
      <c r="P109" s="489"/>
      <c r="Q109" s="489"/>
      <c r="R109" s="489"/>
      <c r="S109" s="489"/>
      <c r="T109" s="490"/>
      <c r="U109" s="303"/>
      <c r="V109" s="309"/>
      <c r="W109" s="304"/>
      <c r="X109" s="304"/>
      <c r="Y109" s="304"/>
      <c r="Z109" s="304"/>
      <c r="AA109" s="304"/>
      <c r="AB109" s="304"/>
      <c r="AC109" s="304"/>
      <c r="AD109" s="304"/>
      <c r="AE109" s="304"/>
      <c r="AF109" s="304"/>
      <c r="AG109" s="304"/>
      <c r="AH109" s="304"/>
      <c r="AI109" s="304"/>
      <c r="AJ109" s="304"/>
      <c r="AK109" s="304"/>
      <c r="AL109" s="304"/>
      <c r="AM109" s="304"/>
      <c r="AN109" s="304"/>
      <c r="AO109" s="308"/>
      <c r="AP109" s="297"/>
    </row>
    <row r="110" spans="1:42" s="104" customFormat="1" ht="14.25" thickBot="1" x14ac:dyDescent="0.3">
      <c r="A110" s="310"/>
      <c r="B110" s="311"/>
      <c r="C110" s="311"/>
      <c r="D110" s="311"/>
      <c r="E110" s="311"/>
      <c r="F110" s="311"/>
      <c r="G110" s="311"/>
      <c r="H110" s="311"/>
      <c r="I110" s="311"/>
      <c r="J110" s="311"/>
      <c r="K110" s="311"/>
      <c r="L110" s="311"/>
      <c r="M110" s="312"/>
      <c r="N110" s="312"/>
      <c r="O110" s="312"/>
      <c r="P110" s="312"/>
      <c r="Q110" s="312"/>
      <c r="R110" s="312"/>
      <c r="S110" s="312"/>
      <c r="T110" s="312"/>
      <c r="U110" s="312"/>
      <c r="V110" s="312"/>
      <c r="W110" s="312"/>
      <c r="X110" s="313"/>
      <c r="Y110" s="313"/>
      <c r="Z110" s="313"/>
      <c r="AA110" s="313"/>
      <c r="AB110" s="313"/>
      <c r="AC110" s="313"/>
      <c r="AD110" s="313"/>
      <c r="AE110" s="314"/>
      <c r="AF110" s="311"/>
      <c r="AG110" s="311"/>
      <c r="AH110" s="311"/>
      <c r="AI110" s="311"/>
      <c r="AJ110" s="311"/>
      <c r="AK110" s="311"/>
      <c r="AL110" s="311"/>
      <c r="AM110" s="311"/>
      <c r="AN110" s="311"/>
      <c r="AO110" s="311"/>
      <c r="AP110" s="315"/>
    </row>
    <row r="111" spans="1:42" s="104" customFormat="1" ht="13.5" x14ac:dyDescent="0.25">
      <c r="A111" s="109"/>
      <c r="B111" s="109"/>
      <c r="C111" s="109"/>
      <c r="D111" s="109"/>
      <c r="E111" s="109"/>
      <c r="F111" s="109"/>
      <c r="G111" s="109"/>
      <c r="H111" s="109"/>
      <c r="I111" s="109"/>
      <c r="J111" s="109"/>
      <c r="K111" s="109"/>
      <c r="L111" s="109"/>
      <c r="M111" s="140"/>
      <c r="N111" s="140"/>
      <c r="O111" s="140"/>
      <c r="P111" s="140"/>
      <c r="Q111" s="140"/>
      <c r="R111" s="140"/>
      <c r="S111" s="140"/>
      <c r="T111" s="140"/>
      <c r="U111" s="140"/>
      <c r="V111" s="140"/>
      <c r="W111" s="140"/>
      <c r="X111" s="251"/>
      <c r="Y111" s="251"/>
      <c r="Z111" s="251"/>
      <c r="AA111" s="251"/>
      <c r="AB111" s="251"/>
      <c r="AC111" s="251"/>
      <c r="AD111" s="251"/>
      <c r="AE111" s="249"/>
      <c r="AF111" s="109"/>
      <c r="AG111" s="109"/>
      <c r="AH111" s="109"/>
      <c r="AI111" s="109"/>
      <c r="AJ111" s="109"/>
      <c r="AK111" s="109"/>
      <c r="AL111" s="109"/>
      <c r="AM111" s="109"/>
      <c r="AN111" s="109"/>
      <c r="AO111" s="109"/>
      <c r="AP111" s="316"/>
    </row>
    <row r="112" spans="1:42" s="317" customFormat="1" x14ac:dyDescent="0.35">
      <c r="A112" s="229"/>
      <c r="B112" s="229"/>
      <c r="C112" s="229"/>
      <c r="D112" s="229"/>
      <c r="E112" s="229"/>
      <c r="F112" s="229"/>
      <c r="G112" s="229"/>
      <c r="H112" s="229"/>
      <c r="I112" s="229"/>
      <c r="J112" s="229"/>
      <c r="K112" s="229"/>
      <c r="L112" s="229"/>
      <c r="M112" s="229"/>
      <c r="N112" s="229"/>
      <c r="O112" s="229"/>
      <c r="P112" s="229"/>
      <c r="Q112" s="229"/>
      <c r="R112" s="229"/>
      <c r="S112" s="229"/>
      <c r="T112" s="229"/>
      <c r="U112" s="229"/>
      <c r="V112" s="229"/>
      <c r="W112" s="229"/>
      <c r="X112" s="229"/>
      <c r="Y112" s="229"/>
      <c r="Z112" s="229"/>
      <c r="AA112" s="229"/>
      <c r="AB112" s="229"/>
      <c r="AC112" s="229"/>
      <c r="AD112" s="229"/>
      <c r="AE112" s="229"/>
      <c r="AF112" s="229"/>
      <c r="AG112" s="229"/>
      <c r="AH112" s="229"/>
      <c r="AI112" s="229"/>
      <c r="AJ112" s="229"/>
      <c r="AK112" s="229"/>
      <c r="AL112" s="229"/>
      <c r="AM112" s="229"/>
      <c r="AN112" s="229"/>
      <c r="AO112" s="229"/>
      <c r="AP112" s="229"/>
    </row>
    <row r="113" spans="5:43" s="317" customFormat="1" hidden="1" x14ac:dyDescent="0.35"/>
    <row r="114" spans="5:43" s="317" customFormat="1" hidden="1" x14ac:dyDescent="0.35">
      <c r="R114" s="318" t="s">
        <v>489</v>
      </c>
      <c r="AQ114" s="317" t="s">
        <v>635</v>
      </c>
    </row>
    <row r="115" spans="5:43" s="317" customFormat="1" hidden="1" x14ac:dyDescent="0.35">
      <c r="F115" s="318"/>
      <c r="G115" s="318" t="s">
        <v>496</v>
      </c>
      <c r="H115" s="318"/>
      <c r="I115" s="318"/>
      <c r="J115" s="318" t="s">
        <v>34</v>
      </c>
      <c r="K115" s="318"/>
      <c r="L115" s="318"/>
      <c r="M115" s="318" t="s">
        <v>35</v>
      </c>
      <c r="N115" s="318"/>
      <c r="O115" s="318" t="s">
        <v>38</v>
      </c>
      <c r="P115" s="318"/>
      <c r="Q115" s="318"/>
      <c r="R115" s="319" t="s">
        <v>567</v>
      </c>
      <c r="S115" s="318"/>
      <c r="T115" s="318"/>
      <c r="AA115" s="318" t="s">
        <v>33</v>
      </c>
      <c r="AB115" s="320"/>
      <c r="AK115" s="317" t="s">
        <v>1223</v>
      </c>
      <c r="AQ115" s="317" t="s">
        <v>514</v>
      </c>
    </row>
    <row r="116" spans="5:43" s="317" customFormat="1" hidden="1" x14ac:dyDescent="0.35">
      <c r="F116" s="318"/>
      <c r="G116" s="321">
        <v>43831</v>
      </c>
      <c r="H116" s="321"/>
      <c r="I116" s="321"/>
      <c r="J116" s="318">
        <v>0</v>
      </c>
      <c r="K116" s="318"/>
      <c r="L116" s="318"/>
      <c r="M116" s="318"/>
      <c r="N116" s="318"/>
      <c r="O116" s="317">
        <v>2014</v>
      </c>
      <c r="P116" s="318"/>
      <c r="Q116" s="318"/>
      <c r="R116" s="319" t="s">
        <v>577</v>
      </c>
      <c r="S116" s="318"/>
      <c r="T116" s="318"/>
      <c r="V116" s="322" t="s">
        <v>566</v>
      </c>
      <c r="AA116" s="318"/>
      <c r="AB116" s="320"/>
      <c r="AK116" s="317" t="s">
        <v>1224</v>
      </c>
      <c r="AQ116" s="317" t="s">
        <v>504</v>
      </c>
    </row>
    <row r="117" spans="5:43" s="317" customFormat="1" hidden="1" x14ac:dyDescent="0.35">
      <c r="F117" s="318"/>
      <c r="G117" s="321">
        <v>43832</v>
      </c>
      <c r="H117" s="321"/>
      <c r="I117" s="321"/>
      <c r="J117" s="318">
        <v>1</v>
      </c>
      <c r="K117" s="318"/>
      <c r="L117" s="318"/>
      <c r="M117" s="318">
        <v>1</v>
      </c>
      <c r="N117" s="318"/>
      <c r="O117" s="318">
        <v>2015</v>
      </c>
      <c r="P117" s="318"/>
      <c r="Q117" s="318"/>
      <c r="R117" s="323" t="s">
        <v>39</v>
      </c>
      <c r="S117" s="323"/>
      <c r="T117" s="318"/>
      <c r="V117" s="324" t="s">
        <v>568</v>
      </c>
      <c r="AA117" s="320" t="s">
        <v>1247</v>
      </c>
      <c r="AB117" s="325" t="s">
        <v>28</v>
      </c>
      <c r="AK117" s="317" t="s">
        <v>1225</v>
      </c>
      <c r="AQ117" s="317" t="s">
        <v>509</v>
      </c>
    </row>
    <row r="118" spans="5:43" s="317" customFormat="1" hidden="1" x14ac:dyDescent="0.35">
      <c r="F118" s="318"/>
      <c r="G118" s="321">
        <v>43833</v>
      </c>
      <c r="H118" s="321"/>
      <c r="I118" s="321"/>
      <c r="J118" s="318">
        <v>2</v>
      </c>
      <c r="K118" s="318"/>
      <c r="L118" s="318"/>
      <c r="M118" s="318">
        <v>2</v>
      </c>
      <c r="N118" s="318"/>
      <c r="O118" s="318">
        <v>2016</v>
      </c>
      <c r="P118" s="318"/>
      <c r="Q118" s="318"/>
      <c r="R118" s="323" t="s">
        <v>40</v>
      </c>
      <c r="S118" s="323"/>
      <c r="T118" s="318"/>
      <c r="V118" s="324" t="s">
        <v>569</v>
      </c>
      <c r="AA118" s="320" t="s">
        <v>1248</v>
      </c>
      <c r="AB118" s="325" t="s">
        <v>29</v>
      </c>
      <c r="AK118" s="317" t="s">
        <v>1226</v>
      </c>
      <c r="AQ118" s="317" t="s">
        <v>510</v>
      </c>
    </row>
    <row r="119" spans="5:43" s="317" customFormat="1" hidden="1" x14ac:dyDescent="0.35">
      <c r="F119" s="318"/>
      <c r="G119" s="321">
        <v>43834</v>
      </c>
      <c r="H119" s="321"/>
      <c r="I119" s="321"/>
      <c r="J119" s="318">
        <v>3</v>
      </c>
      <c r="K119" s="318"/>
      <c r="L119" s="318"/>
      <c r="M119" s="318">
        <v>3</v>
      </c>
      <c r="N119" s="318"/>
      <c r="O119" s="318">
        <v>2017</v>
      </c>
      <c r="P119" s="318"/>
      <c r="Q119" s="318"/>
      <c r="R119" s="323" t="s">
        <v>41</v>
      </c>
      <c r="S119" s="323"/>
      <c r="T119" s="318"/>
      <c r="V119" s="324" t="s">
        <v>570</v>
      </c>
      <c r="AA119" s="320" t="s">
        <v>1241</v>
      </c>
      <c r="AB119" s="325" t="s">
        <v>30</v>
      </c>
      <c r="AK119" s="317" t="s">
        <v>1227</v>
      </c>
      <c r="AQ119" s="317" t="s">
        <v>511</v>
      </c>
    </row>
    <row r="120" spans="5:43" s="317" customFormat="1" hidden="1" x14ac:dyDescent="0.35">
      <c r="F120" s="318"/>
      <c r="G120" s="321">
        <v>43835</v>
      </c>
      <c r="H120" s="321"/>
      <c r="I120" s="321"/>
      <c r="J120" s="318">
        <v>4</v>
      </c>
      <c r="K120" s="318"/>
      <c r="L120" s="318"/>
      <c r="M120" s="318">
        <v>4</v>
      </c>
      <c r="N120" s="318"/>
      <c r="O120" s="318">
        <v>2018</v>
      </c>
      <c r="P120" s="318"/>
      <c r="Q120" s="318"/>
      <c r="R120" s="323" t="s">
        <v>42</v>
      </c>
      <c r="S120" s="323"/>
      <c r="T120" s="318"/>
      <c r="V120" s="324" t="s">
        <v>571</v>
      </c>
      <c r="AA120" s="320" t="s">
        <v>1249</v>
      </c>
      <c r="AB120" s="325" t="s">
        <v>31</v>
      </c>
      <c r="AK120" s="317" t="s">
        <v>1228</v>
      </c>
      <c r="AQ120" s="317" t="s">
        <v>512</v>
      </c>
    </row>
    <row r="121" spans="5:43" s="317" customFormat="1" hidden="1" x14ac:dyDescent="0.35">
      <c r="F121" s="318"/>
      <c r="G121" s="321">
        <v>43836</v>
      </c>
      <c r="H121" s="321"/>
      <c r="I121" s="321"/>
      <c r="J121" s="318">
        <v>5</v>
      </c>
      <c r="K121" s="318"/>
      <c r="L121" s="318"/>
      <c r="M121" s="318">
        <v>5</v>
      </c>
      <c r="N121" s="318"/>
      <c r="O121" s="318">
        <v>2019</v>
      </c>
      <c r="P121" s="318"/>
      <c r="Q121" s="318"/>
      <c r="R121" s="323" t="s">
        <v>43</v>
      </c>
      <c r="S121" s="323"/>
      <c r="T121" s="318"/>
      <c r="V121" s="324" t="s">
        <v>572</v>
      </c>
      <c r="AA121" s="320" t="s">
        <v>1242</v>
      </c>
      <c r="AB121" s="326" t="s">
        <v>32</v>
      </c>
      <c r="AK121" s="317" t="s">
        <v>1229</v>
      </c>
      <c r="AQ121" s="317" t="s">
        <v>513</v>
      </c>
    </row>
    <row r="122" spans="5:43" s="317" customFormat="1" hidden="1" x14ac:dyDescent="0.35">
      <c r="F122" s="318"/>
      <c r="G122" s="321">
        <v>43837</v>
      </c>
      <c r="H122" s="321"/>
      <c r="I122" s="321"/>
      <c r="J122" s="318">
        <v>6</v>
      </c>
      <c r="K122" s="318"/>
      <c r="L122" s="318"/>
      <c r="M122" s="318">
        <v>6</v>
      </c>
      <c r="N122" s="318"/>
      <c r="O122" s="318">
        <v>2020</v>
      </c>
      <c r="P122" s="318"/>
      <c r="Q122" s="318"/>
      <c r="R122" s="323" t="s">
        <v>44</v>
      </c>
      <c r="S122" s="323"/>
      <c r="T122" s="318"/>
      <c r="V122" s="324" t="s">
        <v>573</v>
      </c>
      <c r="AA122" s="320" t="s">
        <v>1256</v>
      </c>
      <c r="AB122" s="318" t="s">
        <v>495</v>
      </c>
      <c r="AK122" s="317" t="s">
        <v>1230</v>
      </c>
      <c r="AQ122" s="317" t="s">
        <v>505</v>
      </c>
    </row>
    <row r="123" spans="5:43" s="317" customFormat="1" hidden="1" x14ac:dyDescent="0.35">
      <c r="E123" s="318"/>
      <c r="F123" s="318"/>
      <c r="G123" s="321">
        <v>43838</v>
      </c>
      <c r="H123" s="321"/>
      <c r="I123" s="321"/>
      <c r="J123" s="318">
        <v>7</v>
      </c>
      <c r="K123" s="318"/>
      <c r="L123" s="318"/>
      <c r="M123" s="318">
        <v>7</v>
      </c>
      <c r="N123" s="318"/>
      <c r="O123" s="318">
        <v>2021</v>
      </c>
      <c r="P123" s="318"/>
      <c r="Q123" s="318"/>
      <c r="R123" s="323" t="s">
        <v>45</v>
      </c>
      <c r="S123" s="323"/>
      <c r="T123" s="318"/>
      <c r="V123" s="324" t="s">
        <v>574</v>
      </c>
      <c r="AA123" s="320" t="s">
        <v>1255</v>
      </c>
      <c r="AB123" s="317" t="s">
        <v>532</v>
      </c>
      <c r="AK123" s="317" t="s">
        <v>1231</v>
      </c>
      <c r="AQ123" s="317" t="s">
        <v>515</v>
      </c>
    </row>
    <row r="124" spans="5:43" s="317" customFormat="1" hidden="1" x14ac:dyDescent="0.35">
      <c r="E124" s="318"/>
      <c r="F124" s="318"/>
      <c r="G124" s="321">
        <v>43839</v>
      </c>
      <c r="H124" s="321"/>
      <c r="I124" s="321"/>
      <c r="J124" s="318">
        <v>8</v>
      </c>
      <c r="K124" s="318"/>
      <c r="L124" s="318"/>
      <c r="M124" s="318">
        <v>8</v>
      </c>
      <c r="N124" s="318"/>
      <c r="O124" s="318">
        <v>2022</v>
      </c>
      <c r="P124" s="318"/>
      <c r="Q124" s="318"/>
      <c r="R124" s="323" t="s">
        <v>46</v>
      </c>
      <c r="S124" s="323"/>
      <c r="T124" s="318"/>
      <c r="V124" s="324" t="s">
        <v>575</v>
      </c>
      <c r="AA124" s="320"/>
      <c r="AB124" s="317" t="s">
        <v>578</v>
      </c>
      <c r="AK124" s="317" t="s">
        <v>1232</v>
      </c>
      <c r="AQ124" s="317" t="s">
        <v>516</v>
      </c>
    </row>
    <row r="125" spans="5:43" s="317" customFormat="1" hidden="1" x14ac:dyDescent="0.35">
      <c r="E125" s="318"/>
      <c r="F125" s="318"/>
      <c r="G125" s="321">
        <v>43840</v>
      </c>
      <c r="H125" s="321"/>
      <c r="I125" s="321"/>
      <c r="J125" s="318">
        <v>9</v>
      </c>
      <c r="K125" s="318"/>
      <c r="L125" s="318"/>
      <c r="M125" s="318">
        <v>9</v>
      </c>
      <c r="N125" s="318"/>
      <c r="O125" s="318">
        <v>2023</v>
      </c>
      <c r="P125" s="318"/>
      <c r="Q125" s="318"/>
      <c r="R125" s="323" t="s">
        <v>47</v>
      </c>
      <c r="S125" s="323"/>
      <c r="T125" s="318"/>
      <c r="V125" s="324" t="s">
        <v>576</v>
      </c>
      <c r="AK125" s="317" t="s">
        <v>1233</v>
      </c>
      <c r="AQ125" s="317" t="s">
        <v>517</v>
      </c>
    </row>
    <row r="126" spans="5:43" s="317" customFormat="1" hidden="1" x14ac:dyDescent="0.35">
      <c r="E126" s="318"/>
      <c r="F126" s="318"/>
      <c r="G126" s="321">
        <v>43841</v>
      </c>
      <c r="H126" s="321"/>
      <c r="I126" s="321"/>
      <c r="J126" s="318">
        <v>10</v>
      </c>
      <c r="K126" s="318"/>
      <c r="L126" s="318"/>
      <c r="M126" s="318">
        <v>10</v>
      </c>
      <c r="N126" s="318"/>
      <c r="O126" s="318">
        <v>2024</v>
      </c>
      <c r="P126" s="318"/>
      <c r="Q126" s="318"/>
      <c r="R126" s="323" t="s">
        <v>48</v>
      </c>
      <c r="S126" s="323"/>
      <c r="T126" s="318"/>
      <c r="V126" s="324">
        <v>10</v>
      </c>
      <c r="AA126" s="317" t="s">
        <v>530</v>
      </c>
      <c r="AB126" s="320"/>
      <c r="AK126" s="317" t="s">
        <v>1234</v>
      </c>
      <c r="AQ126" s="317" t="s">
        <v>518</v>
      </c>
    </row>
    <row r="127" spans="5:43" s="317" customFormat="1" hidden="1" x14ac:dyDescent="0.35">
      <c r="E127" s="318"/>
      <c r="F127" s="318"/>
      <c r="G127" s="321">
        <v>43842</v>
      </c>
      <c r="H127" s="321"/>
      <c r="I127" s="321"/>
      <c r="J127" s="318">
        <v>11</v>
      </c>
      <c r="K127" s="318"/>
      <c r="L127" s="318"/>
      <c r="M127" s="318">
        <v>11</v>
      </c>
      <c r="N127" s="318"/>
      <c r="O127" s="318">
        <v>2025</v>
      </c>
      <c r="P127" s="318"/>
      <c r="Q127" s="318"/>
      <c r="R127" s="323" t="s">
        <v>49</v>
      </c>
      <c r="S127" s="323"/>
      <c r="T127" s="318"/>
      <c r="V127" s="324">
        <v>11</v>
      </c>
      <c r="AA127" s="317" t="s">
        <v>529</v>
      </c>
      <c r="AB127" s="320"/>
      <c r="AK127" s="317" t="s">
        <v>1235</v>
      </c>
      <c r="AQ127" s="317" t="s">
        <v>519</v>
      </c>
    </row>
    <row r="128" spans="5:43" s="317" customFormat="1" hidden="1" x14ac:dyDescent="0.35">
      <c r="E128" s="318"/>
      <c r="F128" s="318"/>
      <c r="G128" s="321">
        <v>43843</v>
      </c>
      <c r="H128" s="321"/>
      <c r="I128" s="321"/>
      <c r="J128" s="318">
        <v>12</v>
      </c>
      <c r="K128" s="318"/>
      <c r="L128" s="318"/>
      <c r="M128" s="318">
        <v>12</v>
      </c>
      <c r="N128" s="318"/>
      <c r="O128" s="318"/>
      <c r="P128" s="318"/>
      <c r="Q128" s="318"/>
      <c r="R128" s="323" t="s">
        <v>50</v>
      </c>
      <c r="S128" s="323"/>
      <c r="T128" s="318"/>
      <c r="V128" s="324">
        <v>12</v>
      </c>
      <c r="AA128" s="317" t="s">
        <v>528</v>
      </c>
      <c r="AB128" s="320"/>
      <c r="AQ128" s="317" t="s">
        <v>520</v>
      </c>
    </row>
    <row r="129" spans="5:43" s="317" customFormat="1" hidden="1" x14ac:dyDescent="0.35">
      <c r="E129" s="318"/>
      <c r="F129" s="318"/>
      <c r="G129" s="321">
        <v>43844</v>
      </c>
      <c r="H129" s="321"/>
      <c r="I129" s="321"/>
      <c r="J129" s="318">
        <v>13</v>
      </c>
      <c r="K129" s="318"/>
      <c r="L129" s="318"/>
      <c r="M129" s="318">
        <v>13</v>
      </c>
      <c r="N129" s="318"/>
      <c r="O129" s="318"/>
      <c r="P129" s="318"/>
      <c r="Q129" s="318"/>
      <c r="R129" s="323" t="s">
        <v>51</v>
      </c>
      <c r="S129" s="323"/>
      <c r="T129" s="318"/>
      <c r="V129" s="324">
        <v>13</v>
      </c>
      <c r="AB129" s="320"/>
      <c r="AQ129" s="317" t="s">
        <v>521</v>
      </c>
    </row>
    <row r="130" spans="5:43" s="317" customFormat="1" hidden="1" x14ac:dyDescent="0.35">
      <c r="E130" s="318"/>
      <c r="F130" s="318"/>
      <c r="G130" s="321">
        <v>43845</v>
      </c>
      <c r="H130" s="321"/>
      <c r="I130" s="321"/>
      <c r="J130" s="318"/>
      <c r="K130" s="318"/>
      <c r="L130" s="318"/>
      <c r="M130" s="318">
        <v>14</v>
      </c>
      <c r="N130" s="318"/>
      <c r="O130" s="318"/>
      <c r="P130" s="318"/>
      <c r="Q130" s="318"/>
      <c r="R130" s="323" t="s">
        <v>52</v>
      </c>
      <c r="S130" s="323"/>
      <c r="T130" s="318"/>
      <c r="V130" s="324">
        <v>14</v>
      </c>
      <c r="AA130" s="317" t="s">
        <v>552</v>
      </c>
      <c r="AB130" s="320"/>
      <c r="AK130" s="30" t="s">
        <v>1259</v>
      </c>
      <c r="AQ130" s="317" t="s">
        <v>506</v>
      </c>
    </row>
    <row r="131" spans="5:43" s="317" customFormat="1" hidden="1" x14ac:dyDescent="0.35">
      <c r="E131" s="318"/>
      <c r="F131" s="318"/>
      <c r="G131" s="321">
        <v>43846</v>
      </c>
      <c r="H131" s="321"/>
      <c r="I131" s="321"/>
      <c r="J131" s="318"/>
      <c r="K131" s="318"/>
      <c r="L131" s="318"/>
      <c r="M131" s="318">
        <v>15</v>
      </c>
      <c r="N131" s="318"/>
      <c r="O131" s="318"/>
      <c r="P131" s="318"/>
      <c r="Q131" s="318"/>
      <c r="R131" s="323" t="s">
        <v>53</v>
      </c>
      <c r="S131" s="323"/>
      <c r="T131" s="318"/>
      <c r="V131" s="324">
        <v>15</v>
      </c>
      <c r="AA131" s="317" t="s">
        <v>1275</v>
      </c>
      <c r="AB131" s="320"/>
      <c r="AK131" s="317" t="s">
        <v>1263</v>
      </c>
      <c r="AQ131" s="317" t="s">
        <v>522</v>
      </c>
    </row>
    <row r="132" spans="5:43" s="317" customFormat="1" hidden="1" x14ac:dyDescent="0.35">
      <c r="E132" s="318"/>
      <c r="F132" s="318"/>
      <c r="G132" s="321">
        <v>43847</v>
      </c>
      <c r="H132" s="321"/>
      <c r="I132" s="321"/>
      <c r="J132" s="318"/>
      <c r="K132" s="318"/>
      <c r="L132" s="318"/>
      <c r="M132" s="318">
        <v>16</v>
      </c>
      <c r="N132" s="318"/>
      <c r="O132" s="318"/>
      <c r="P132" s="318"/>
      <c r="Q132" s="318"/>
      <c r="R132" s="323" t="s">
        <v>54</v>
      </c>
      <c r="S132" s="323"/>
      <c r="T132" s="318"/>
      <c r="V132" s="324">
        <v>16</v>
      </c>
      <c r="AA132" s="317" t="s">
        <v>1276</v>
      </c>
      <c r="AB132" s="320"/>
      <c r="AK132" s="30" t="s">
        <v>1260</v>
      </c>
      <c r="AQ132" s="317" t="s">
        <v>523</v>
      </c>
    </row>
    <row r="133" spans="5:43" s="317" customFormat="1" hidden="1" x14ac:dyDescent="0.35">
      <c r="E133" s="318"/>
      <c r="F133" s="318"/>
      <c r="G133" s="321">
        <v>43848</v>
      </c>
      <c r="H133" s="321"/>
      <c r="I133" s="321"/>
      <c r="J133" s="318"/>
      <c r="K133" s="318"/>
      <c r="L133" s="318"/>
      <c r="M133" s="318">
        <v>17</v>
      </c>
      <c r="N133" s="318"/>
      <c r="O133" s="318"/>
      <c r="P133" s="318"/>
      <c r="Q133" s="318"/>
      <c r="R133" s="323" t="s">
        <v>55</v>
      </c>
      <c r="S133" s="323"/>
      <c r="T133" s="318"/>
      <c r="V133" s="324">
        <v>17</v>
      </c>
      <c r="AA133" s="317" t="s">
        <v>1239</v>
      </c>
      <c r="AB133" s="320"/>
      <c r="AK133" s="30" t="s">
        <v>1261</v>
      </c>
      <c r="AQ133" s="317" t="s">
        <v>507</v>
      </c>
    </row>
    <row r="134" spans="5:43" s="317" customFormat="1" hidden="1" x14ac:dyDescent="0.35">
      <c r="E134" s="318"/>
      <c r="F134" s="318"/>
      <c r="G134" s="321">
        <v>43849</v>
      </c>
      <c r="H134" s="321"/>
      <c r="I134" s="321"/>
      <c r="J134" s="318"/>
      <c r="K134" s="318"/>
      <c r="L134" s="318"/>
      <c r="M134" s="318">
        <v>18</v>
      </c>
      <c r="N134" s="318"/>
      <c r="O134" s="318"/>
      <c r="P134" s="318"/>
      <c r="Q134" s="318"/>
      <c r="R134" s="323" t="s">
        <v>56</v>
      </c>
      <c r="S134" s="323"/>
      <c r="T134" s="318"/>
      <c r="V134" s="324">
        <v>18</v>
      </c>
      <c r="AB134" s="320"/>
      <c r="AK134" s="30" t="s">
        <v>1262</v>
      </c>
      <c r="AQ134" s="317" t="s">
        <v>508</v>
      </c>
    </row>
    <row r="135" spans="5:43" s="317" customFormat="1" hidden="1" x14ac:dyDescent="0.35">
      <c r="E135" s="318"/>
      <c r="F135" s="318"/>
      <c r="G135" s="321">
        <v>43850</v>
      </c>
      <c r="H135" s="321"/>
      <c r="I135" s="321"/>
      <c r="J135" s="318"/>
      <c r="K135" s="318"/>
      <c r="L135" s="318"/>
      <c r="M135" s="318">
        <v>19</v>
      </c>
      <c r="N135" s="318"/>
      <c r="O135" s="318"/>
      <c r="P135" s="318"/>
      <c r="Q135" s="318"/>
      <c r="R135" s="323" t="s">
        <v>57</v>
      </c>
      <c r="S135" s="323"/>
      <c r="T135" s="318"/>
      <c r="V135" s="324">
        <v>19</v>
      </c>
      <c r="AB135" s="320"/>
      <c r="AK135" s="317" t="s">
        <v>1277</v>
      </c>
      <c r="AQ135" s="317" t="s">
        <v>524</v>
      </c>
    </row>
    <row r="136" spans="5:43" s="317" customFormat="1" hidden="1" x14ac:dyDescent="0.35">
      <c r="E136" s="318"/>
      <c r="F136" s="318"/>
      <c r="G136" s="321">
        <v>43851</v>
      </c>
      <c r="H136" s="321"/>
      <c r="I136" s="321"/>
      <c r="J136" s="318"/>
      <c r="K136" s="318"/>
      <c r="L136" s="318"/>
      <c r="M136" s="318">
        <v>20</v>
      </c>
      <c r="N136" s="318"/>
      <c r="O136" s="318"/>
      <c r="P136" s="318"/>
      <c r="Q136" s="318"/>
      <c r="R136" s="323" t="s">
        <v>58</v>
      </c>
      <c r="S136" s="323"/>
      <c r="T136" s="318"/>
      <c r="V136" s="324">
        <v>20</v>
      </c>
      <c r="AB136" s="320"/>
      <c r="AQ136" s="317" t="s">
        <v>1284</v>
      </c>
    </row>
    <row r="137" spans="5:43" s="317" customFormat="1" hidden="1" x14ac:dyDescent="0.35">
      <c r="E137" s="318"/>
      <c r="F137" s="318"/>
      <c r="G137" s="321">
        <v>43852</v>
      </c>
      <c r="H137" s="321"/>
      <c r="I137" s="321"/>
      <c r="J137" s="318"/>
      <c r="K137" s="318"/>
      <c r="L137" s="318"/>
      <c r="M137" s="318">
        <v>21</v>
      </c>
      <c r="N137" s="318"/>
      <c r="O137" s="318"/>
      <c r="P137" s="318"/>
      <c r="Q137" s="318"/>
      <c r="R137" s="323" t="s">
        <v>59</v>
      </c>
      <c r="S137" s="323"/>
      <c r="T137" s="318"/>
      <c r="V137" s="324">
        <v>21</v>
      </c>
      <c r="AB137" s="320"/>
      <c r="AQ137" s="317" t="s">
        <v>525</v>
      </c>
    </row>
    <row r="138" spans="5:43" s="317" customFormat="1" hidden="1" x14ac:dyDescent="0.35">
      <c r="E138" s="318"/>
      <c r="F138" s="318"/>
      <c r="G138" s="321">
        <v>43853</v>
      </c>
      <c r="H138" s="321"/>
      <c r="I138" s="321"/>
      <c r="J138" s="318"/>
      <c r="K138" s="318"/>
      <c r="L138" s="318"/>
      <c r="M138" s="318">
        <v>22</v>
      </c>
      <c r="N138" s="318"/>
      <c r="O138" s="318"/>
      <c r="P138" s="318"/>
      <c r="Q138" s="318"/>
      <c r="R138" s="323" t="s">
        <v>60</v>
      </c>
      <c r="S138" s="323"/>
      <c r="T138" s="318"/>
      <c r="V138" s="324">
        <v>22</v>
      </c>
      <c r="AB138" s="320"/>
      <c r="AQ138" s="317" t="s">
        <v>526</v>
      </c>
    </row>
    <row r="139" spans="5:43" s="317" customFormat="1" hidden="1" x14ac:dyDescent="0.35">
      <c r="E139" s="318"/>
      <c r="F139" s="318"/>
      <c r="G139" s="321">
        <v>43854</v>
      </c>
      <c r="H139" s="321"/>
      <c r="I139" s="321"/>
      <c r="J139" s="318"/>
      <c r="K139" s="318"/>
      <c r="L139" s="318"/>
      <c r="M139" s="318">
        <v>23</v>
      </c>
      <c r="N139" s="318"/>
      <c r="O139" s="318"/>
      <c r="P139" s="318"/>
      <c r="Q139" s="318"/>
      <c r="R139" s="323" t="s">
        <v>61</v>
      </c>
      <c r="S139" s="323"/>
      <c r="T139" s="318"/>
      <c r="V139" s="324">
        <v>23</v>
      </c>
      <c r="AB139" s="320"/>
      <c r="AQ139" s="317" t="s">
        <v>527</v>
      </c>
    </row>
    <row r="140" spans="5:43" s="317" customFormat="1" hidden="1" x14ac:dyDescent="0.35">
      <c r="E140" s="318"/>
      <c r="F140" s="318"/>
      <c r="G140" s="321">
        <v>43855</v>
      </c>
      <c r="H140" s="321"/>
      <c r="I140" s="321"/>
      <c r="J140" s="318"/>
      <c r="K140" s="318"/>
      <c r="L140" s="318"/>
      <c r="M140" s="318">
        <v>24</v>
      </c>
      <c r="N140" s="318"/>
      <c r="O140" s="318"/>
      <c r="P140" s="318"/>
      <c r="Q140" s="318"/>
      <c r="R140" s="323" t="s">
        <v>62</v>
      </c>
      <c r="S140" s="323"/>
      <c r="T140" s="318"/>
      <c r="V140" s="324">
        <v>24</v>
      </c>
      <c r="AB140" s="320"/>
    </row>
    <row r="141" spans="5:43" s="317" customFormat="1" hidden="1" x14ac:dyDescent="0.35">
      <c r="E141" s="318"/>
      <c r="F141" s="318"/>
      <c r="G141" s="321">
        <v>43856</v>
      </c>
      <c r="H141" s="321"/>
      <c r="I141" s="321"/>
      <c r="J141" s="318"/>
      <c r="K141" s="318"/>
      <c r="L141" s="318"/>
      <c r="M141" s="318">
        <v>25</v>
      </c>
      <c r="N141" s="318"/>
      <c r="O141" s="318"/>
      <c r="P141" s="318"/>
      <c r="Q141" s="318"/>
      <c r="R141" s="323" t="s">
        <v>63</v>
      </c>
      <c r="S141" s="323"/>
      <c r="T141" s="318"/>
      <c r="V141" s="324">
        <v>25</v>
      </c>
      <c r="AB141" s="320"/>
      <c r="AQ141" s="317" t="s">
        <v>543</v>
      </c>
    </row>
    <row r="142" spans="5:43" s="317" customFormat="1" hidden="1" x14ac:dyDescent="0.35">
      <c r="E142" s="318"/>
      <c r="F142" s="318"/>
      <c r="G142" s="321">
        <v>43857</v>
      </c>
      <c r="H142" s="321"/>
      <c r="I142" s="321"/>
      <c r="J142" s="318"/>
      <c r="K142" s="318"/>
      <c r="L142" s="318"/>
      <c r="M142" s="318">
        <v>26</v>
      </c>
      <c r="N142" s="318"/>
      <c r="O142" s="318"/>
      <c r="P142" s="318"/>
      <c r="Q142" s="318"/>
      <c r="R142" s="323" t="s">
        <v>64</v>
      </c>
      <c r="S142" s="323"/>
      <c r="T142" s="318"/>
      <c r="AB142" s="320"/>
      <c r="AQ142" s="327" t="s">
        <v>533</v>
      </c>
    </row>
    <row r="143" spans="5:43" s="317" customFormat="1" hidden="1" x14ac:dyDescent="0.35">
      <c r="E143" s="318"/>
      <c r="F143" s="318"/>
      <c r="G143" s="321">
        <v>43858</v>
      </c>
      <c r="H143" s="321"/>
      <c r="I143" s="321"/>
      <c r="J143" s="318"/>
      <c r="K143" s="318"/>
      <c r="L143" s="318"/>
      <c r="M143" s="318">
        <v>27</v>
      </c>
      <c r="N143" s="318"/>
      <c r="O143" s="318"/>
      <c r="P143" s="318"/>
      <c r="Q143" s="318"/>
      <c r="R143" s="323" t="s">
        <v>65</v>
      </c>
      <c r="S143" s="323"/>
      <c r="T143" s="318"/>
      <c r="AB143" s="320"/>
      <c r="AQ143" s="327" t="s">
        <v>534</v>
      </c>
    </row>
    <row r="144" spans="5:43" s="317" customFormat="1" hidden="1" x14ac:dyDescent="0.35">
      <c r="E144" s="318"/>
      <c r="F144" s="318"/>
      <c r="G144" s="321">
        <v>43859</v>
      </c>
      <c r="H144" s="321"/>
      <c r="I144" s="321"/>
      <c r="J144" s="318"/>
      <c r="K144" s="318"/>
      <c r="L144" s="318"/>
      <c r="M144" s="318">
        <v>28</v>
      </c>
      <c r="N144" s="318"/>
      <c r="O144" s="318"/>
      <c r="P144" s="318"/>
      <c r="Q144" s="318"/>
      <c r="R144" s="323" t="s">
        <v>66</v>
      </c>
      <c r="S144" s="323"/>
      <c r="T144" s="318"/>
      <c r="AB144" s="320"/>
      <c r="AQ144" s="327" t="s">
        <v>596</v>
      </c>
    </row>
    <row r="145" spans="5:43" s="317" customFormat="1" hidden="1" x14ac:dyDescent="0.35">
      <c r="E145" s="318"/>
      <c r="F145" s="318"/>
      <c r="G145" s="321">
        <v>43860</v>
      </c>
      <c r="H145" s="321"/>
      <c r="I145" s="321"/>
      <c r="J145" s="318"/>
      <c r="K145" s="318"/>
      <c r="L145" s="318"/>
      <c r="M145" s="318">
        <v>29</v>
      </c>
      <c r="N145" s="318"/>
      <c r="O145" s="318"/>
      <c r="P145" s="318"/>
      <c r="Q145" s="318"/>
      <c r="R145" s="323" t="s">
        <v>67</v>
      </c>
      <c r="S145" s="323"/>
      <c r="T145" s="318"/>
      <c r="AB145" s="320"/>
      <c r="AQ145" s="327" t="s">
        <v>545</v>
      </c>
    </row>
    <row r="146" spans="5:43" s="317" customFormat="1" hidden="1" x14ac:dyDescent="0.35">
      <c r="E146" s="318"/>
      <c r="F146" s="318"/>
      <c r="G146" s="321">
        <v>43861</v>
      </c>
      <c r="H146" s="321"/>
      <c r="I146" s="321"/>
      <c r="J146" s="318"/>
      <c r="K146" s="318"/>
      <c r="L146" s="318"/>
      <c r="M146" s="318">
        <v>30</v>
      </c>
      <c r="N146" s="318"/>
      <c r="O146" s="318"/>
      <c r="P146" s="318"/>
      <c r="Q146" s="318"/>
      <c r="R146" s="323" t="s">
        <v>68</v>
      </c>
      <c r="S146" s="323"/>
      <c r="T146" s="318"/>
      <c r="AB146" s="320"/>
      <c r="AQ146" s="327" t="s">
        <v>1237</v>
      </c>
    </row>
    <row r="147" spans="5:43" s="317" customFormat="1" hidden="1" x14ac:dyDescent="0.35">
      <c r="E147" s="318"/>
      <c r="F147" s="318"/>
      <c r="G147" s="321">
        <v>43862</v>
      </c>
      <c r="H147" s="321"/>
      <c r="I147" s="321"/>
      <c r="J147" s="318"/>
      <c r="K147" s="318"/>
      <c r="L147" s="318"/>
      <c r="M147" s="318"/>
      <c r="N147" s="318"/>
      <c r="O147" s="318"/>
      <c r="P147" s="318"/>
      <c r="Q147" s="318"/>
      <c r="R147" s="323" t="s">
        <v>69</v>
      </c>
      <c r="S147" s="323"/>
      <c r="T147" s="318"/>
      <c r="AB147" s="320"/>
      <c r="AQ147" s="327" t="s">
        <v>546</v>
      </c>
    </row>
    <row r="148" spans="5:43" s="317" customFormat="1" hidden="1" x14ac:dyDescent="0.35">
      <c r="E148" s="318"/>
      <c r="F148" s="318"/>
      <c r="G148" s="321">
        <v>43863</v>
      </c>
      <c r="H148" s="321"/>
      <c r="I148" s="321"/>
      <c r="J148" s="318"/>
      <c r="K148" s="318"/>
      <c r="L148" s="318"/>
      <c r="M148" s="318"/>
      <c r="N148" s="318"/>
      <c r="O148" s="318"/>
      <c r="P148" s="318"/>
      <c r="Q148" s="318"/>
      <c r="R148" s="323" t="s">
        <v>70</v>
      </c>
      <c r="S148" s="323"/>
      <c r="T148" s="318"/>
      <c r="AB148" s="320"/>
      <c r="AQ148" s="327" t="s">
        <v>535</v>
      </c>
    </row>
    <row r="149" spans="5:43" s="317" customFormat="1" hidden="1" x14ac:dyDescent="0.35">
      <c r="E149" s="318"/>
      <c r="F149" s="318"/>
      <c r="G149" s="321">
        <v>43864</v>
      </c>
      <c r="H149" s="321"/>
      <c r="I149" s="321"/>
      <c r="J149" s="318"/>
      <c r="K149" s="318"/>
      <c r="L149" s="318"/>
      <c r="M149" s="318"/>
      <c r="N149" s="318"/>
      <c r="O149" s="318"/>
      <c r="P149" s="318"/>
      <c r="Q149" s="318"/>
      <c r="R149" s="323" t="s">
        <v>71</v>
      </c>
      <c r="S149" s="323"/>
      <c r="T149" s="318"/>
      <c r="AB149" s="328"/>
      <c r="AQ149" s="327" t="s">
        <v>536</v>
      </c>
    </row>
    <row r="150" spans="5:43" s="317" customFormat="1" hidden="1" x14ac:dyDescent="0.35">
      <c r="E150" s="318"/>
      <c r="F150" s="318"/>
      <c r="G150" s="321">
        <v>43865</v>
      </c>
      <c r="H150" s="321"/>
      <c r="I150" s="321"/>
      <c r="J150" s="318"/>
      <c r="K150" s="318"/>
      <c r="L150" s="318"/>
      <c r="M150" s="318"/>
      <c r="N150" s="318"/>
      <c r="O150" s="318"/>
      <c r="P150" s="318"/>
      <c r="Q150" s="318"/>
      <c r="R150" s="323" t="s">
        <v>72</v>
      </c>
      <c r="S150" s="323"/>
      <c r="T150" s="318"/>
      <c r="AB150" s="328"/>
      <c r="AQ150" s="327" t="s">
        <v>547</v>
      </c>
    </row>
    <row r="151" spans="5:43" s="317" customFormat="1" hidden="1" x14ac:dyDescent="0.35">
      <c r="E151" s="318"/>
      <c r="F151" s="318"/>
      <c r="G151" s="321">
        <v>43866</v>
      </c>
      <c r="H151" s="321"/>
      <c r="I151" s="321"/>
      <c r="J151" s="318"/>
      <c r="K151" s="318"/>
      <c r="L151" s="318"/>
      <c r="M151" s="318"/>
      <c r="N151" s="318"/>
      <c r="O151" s="318"/>
      <c r="P151" s="318"/>
      <c r="Q151" s="318"/>
      <c r="R151" s="323" t="s">
        <v>73</v>
      </c>
      <c r="S151" s="323"/>
      <c r="T151" s="318"/>
      <c r="AB151" s="328"/>
      <c r="AQ151" s="327" t="s">
        <v>537</v>
      </c>
    </row>
    <row r="152" spans="5:43" s="317" customFormat="1" hidden="1" x14ac:dyDescent="0.35">
      <c r="E152" s="318"/>
      <c r="F152" s="318"/>
      <c r="G152" s="321">
        <v>43867</v>
      </c>
      <c r="H152" s="321"/>
      <c r="I152" s="321"/>
      <c r="J152" s="318"/>
      <c r="K152" s="318"/>
      <c r="L152" s="318"/>
      <c r="M152" s="318"/>
      <c r="N152" s="318"/>
      <c r="O152" s="318"/>
      <c r="P152" s="318"/>
      <c r="Q152" s="318"/>
      <c r="R152" s="323" t="s">
        <v>74</v>
      </c>
      <c r="S152" s="323"/>
      <c r="T152" s="318"/>
      <c r="AB152" s="328"/>
      <c r="AQ152" s="327" t="s">
        <v>538</v>
      </c>
    </row>
    <row r="153" spans="5:43" s="317" customFormat="1" hidden="1" x14ac:dyDescent="0.35">
      <c r="E153" s="318"/>
      <c r="F153" s="318"/>
      <c r="G153" s="321">
        <v>43868</v>
      </c>
      <c r="H153" s="321"/>
      <c r="I153" s="321"/>
      <c r="J153" s="318"/>
      <c r="K153" s="318"/>
      <c r="L153" s="318"/>
      <c r="M153" s="318"/>
      <c r="N153" s="318"/>
      <c r="O153" s="318"/>
      <c r="P153" s="318"/>
      <c r="Q153" s="318"/>
      <c r="R153" s="323" t="s">
        <v>75</v>
      </c>
      <c r="S153" s="323"/>
      <c r="T153" s="318"/>
      <c r="AB153" s="328"/>
      <c r="AQ153" s="327" t="s">
        <v>1221</v>
      </c>
    </row>
    <row r="154" spans="5:43" s="317" customFormat="1" hidden="1" x14ac:dyDescent="0.35">
      <c r="E154" s="318"/>
      <c r="F154" s="318"/>
      <c r="G154" s="321">
        <v>43869</v>
      </c>
      <c r="H154" s="321"/>
      <c r="I154" s="321"/>
      <c r="J154" s="318"/>
      <c r="K154" s="318"/>
      <c r="L154" s="318"/>
      <c r="M154" s="318"/>
      <c r="N154" s="318"/>
      <c r="O154" s="318"/>
      <c r="P154" s="318"/>
      <c r="Q154" s="318"/>
      <c r="R154" s="323" t="s">
        <v>76</v>
      </c>
      <c r="S154" s="323"/>
      <c r="T154" s="318"/>
      <c r="AB154" s="328"/>
      <c r="AQ154" s="327" t="s">
        <v>539</v>
      </c>
    </row>
    <row r="155" spans="5:43" s="317" customFormat="1" hidden="1" x14ac:dyDescent="0.35">
      <c r="E155" s="318"/>
      <c r="F155" s="318"/>
      <c r="G155" s="321">
        <v>43870</v>
      </c>
      <c r="H155" s="321"/>
      <c r="I155" s="321"/>
      <c r="J155" s="318"/>
      <c r="K155" s="318"/>
      <c r="L155" s="318"/>
      <c r="M155" s="318"/>
      <c r="N155" s="318"/>
      <c r="O155" s="318"/>
      <c r="P155" s="318"/>
      <c r="Q155" s="318"/>
      <c r="R155" s="323" t="s">
        <v>77</v>
      </c>
      <c r="S155" s="323"/>
      <c r="T155" s="318"/>
      <c r="AB155" s="328"/>
      <c r="AQ155" s="327" t="s">
        <v>548</v>
      </c>
    </row>
    <row r="156" spans="5:43" s="317" customFormat="1" hidden="1" x14ac:dyDescent="0.35">
      <c r="E156" s="318"/>
      <c r="F156" s="318"/>
      <c r="G156" s="321">
        <v>43871</v>
      </c>
      <c r="H156" s="321"/>
      <c r="I156" s="321"/>
      <c r="J156" s="318"/>
      <c r="K156" s="318"/>
      <c r="L156" s="318"/>
      <c r="M156" s="318"/>
      <c r="N156" s="318"/>
      <c r="O156" s="318"/>
      <c r="P156" s="318"/>
      <c r="Q156" s="318"/>
      <c r="R156" s="323" t="s">
        <v>78</v>
      </c>
      <c r="S156" s="323"/>
      <c r="T156" s="318"/>
      <c r="AB156" s="328"/>
      <c r="AQ156" s="327" t="s">
        <v>540</v>
      </c>
    </row>
    <row r="157" spans="5:43" s="317" customFormat="1" hidden="1" x14ac:dyDescent="0.35">
      <c r="E157" s="318"/>
      <c r="F157" s="318"/>
      <c r="G157" s="321">
        <v>43872</v>
      </c>
      <c r="H157" s="321"/>
      <c r="I157" s="321"/>
      <c r="J157" s="318"/>
      <c r="K157" s="318"/>
      <c r="L157" s="318"/>
      <c r="M157" s="318"/>
      <c r="N157" s="318"/>
      <c r="O157" s="318"/>
      <c r="P157" s="318"/>
      <c r="Q157" s="318"/>
      <c r="R157" s="323" t="s">
        <v>79</v>
      </c>
      <c r="S157" s="323"/>
      <c r="T157" s="318"/>
      <c r="AB157" s="328"/>
      <c r="AQ157" s="327" t="s">
        <v>549</v>
      </c>
    </row>
    <row r="158" spans="5:43" s="317" customFormat="1" hidden="1" x14ac:dyDescent="0.35">
      <c r="E158" s="318"/>
      <c r="F158" s="318"/>
      <c r="G158" s="321">
        <v>43873</v>
      </c>
      <c r="H158" s="321"/>
      <c r="I158" s="321"/>
      <c r="J158" s="318"/>
      <c r="K158" s="318"/>
      <c r="L158" s="318"/>
      <c r="M158" s="318"/>
      <c r="N158" s="318"/>
      <c r="O158" s="318"/>
      <c r="P158" s="318"/>
      <c r="Q158" s="318"/>
      <c r="R158" s="323" t="s">
        <v>80</v>
      </c>
      <c r="S158" s="323"/>
      <c r="T158" s="318"/>
      <c r="AB158" s="328"/>
      <c r="AQ158" s="327" t="s">
        <v>584</v>
      </c>
    </row>
    <row r="159" spans="5:43" s="317" customFormat="1" hidden="1" x14ac:dyDescent="0.35">
      <c r="E159" s="318"/>
      <c r="F159" s="318"/>
      <c r="G159" s="321">
        <v>43874</v>
      </c>
      <c r="H159" s="321"/>
      <c r="I159" s="321"/>
      <c r="J159" s="318"/>
      <c r="K159" s="318"/>
      <c r="L159" s="318"/>
      <c r="M159" s="318"/>
      <c r="N159" s="318"/>
      <c r="O159" s="318"/>
      <c r="P159" s="318"/>
      <c r="Q159" s="318"/>
      <c r="R159" s="323" t="s">
        <v>81</v>
      </c>
      <c r="S159" s="323"/>
      <c r="T159" s="318"/>
      <c r="AB159" s="328"/>
      <c r="AQ159" s="327" t="s">
        <v>550</v>
      </c>
    </row>
    <row r="160" spans="5:43" s="317" customFormat="1" hidden="1" x14ac:dyDescent="0.35">
      <c r="E160" s="318"/>
      <c r="F160" s="318"/>
      <c r="G160" s="321">
        <v>43875</v>
      </c>
      <c r="H160" s="321"/>
      <c r="I160" s="321"/>
      <c r="J160" s="318"/>
      <c r="K160" s="318"/>
      <c r="L160" s="318"/>
      <c r="M160" s="318"/>
      <c r="N160" s="318"/>
      <c r="O160" s="318"/>
      <c r="P160" s="318"/>
      <c r="Q160" s="318"/>
      <c r="R160" s="323" t="s">
        <v>82</v>
      </c>
      <c r="S160" s="323"/>
      <c r="T160" s="318"/>
      <c r="AB160" s="328"/>
      <c r="AQ160" s="327" t="s">
        <v>1238</v>
      </c>
    </row>
    <row r="161" spans="5:43" s="317" customFormat="1" hidden="1" x14ac:dyDescent="0.35">
      <c r="E161" s="318"/>
      <c r="F161" s="318"/>
      <c r="G161" s="321">
        <v>43876</v>
      </c>
      <c r="H161" s="321"/>
      <c r="I161" s="321"/>
      <c r="J161" s="318"/>
      <c r="K161" s="318"/>
      <c r="L161" s="318"/>
      <c r="M161" s="318"/>
      <c r="N161" s="318"/>
      <c r="O161" s="318"/>
      <c r="P161" s="318"/>
      <c r="Q161" s="318"/>
      <c r="R161" s="323" t="s">
        <v>83</v>
      </c>
      <c r="S161" s="323"/>
      <c r="T161" s="318"/>
      <c r="AB161" s="328"/>
      <c r="AQ161" s="327" t="s">
        <v>541</v>
      </c>
    </row>
    <row r="162" spans="5:43" s="317" customFormat="1" hidden="1" x14ac:dyDescent="0.35">
      <c r="E162" s="318"/>
      <c r="F162" s="318"/>
      <c r="G162" s="321">
        <v>43877</v>
      </c>
      <c r="H162" s="321"/>
      <c r="I162" s="321"/>
      <c r="J162" s="318"/>
      <c r="K162" s="318"/>
      <c r="L162" s="318"/>
      <c r="M162" s="318"/>
      <c r="N162" s="318"/>
      <c r="O162" s="318"/>
      <c r="P162" s="318"/>
      <c r="Q162" s="318"/>
      <c r="R162" s="323" t="s">
        <v>84</v>
      </c>
      <c r="S162" s="323"/>
      <c r="T162" s="318"/>
      <c r="AB162" s="328"/>
      <c r="AQ162" s="327" t="s">
        <v>1236</v>
      </c>
    </row>
    <row r="163" spans="5:43" s="317" customFormat="1" hidden="1" x14ac:dyDescent="0.35">
      <c r="E163" s="318"/>
      <c r="F163" s="318"/>
      <c r="G163" s="321">
        <v>43878</v>
      </c>
      <c r="H163" s="321"/>
      <c r="I163" s="321"/>
      <c r="J163" s="318"/>
      <c r="K163" s="318"/>
      <c r="L163" s="318"/>
      <c r="M163" s="318"/>
      <c r="N163" s="318"/>
      <c r="O163" s="318"/>
      <c r="P163" s="318"/>
      <c r="Q163" s="318"/>
      <c r="R163" s="323" t="s">
        <v>85</v>
      </c>
      <c r="S163" s="323"/>
      <c r="T163" s="318"/>
      <c r="AB163" s="328"/>
      <c r="AQ163" s="327" t="s">
        <v>542</v>
      </c>
    </row>
    <row r="164" spans="5:43" s="317" customFormat="1" hidden="1" x14ac:dyDescent="0.35">
      <c r="E164" s="318"/>
      <c r="F164" s="318"/>
      <c r="G164" s="321">
        <v>43879</v>
      </c>
      <c r="H164" s="321"/>
      <c r="I164" s="321"/>
      <c r="J164" s="318"/>
      <c r="K164" s="318"/>
      <c r="L164" s="318"/>
      <c r="M164" s="318"/>
      <c r="N164" s="318"/>
      <c r="O164" s="318"/>
      <c r="P164" s="318"/>
      <c r="Q164" s="318"/>
      <c r="R164" s="323" t="s">
        <v>86</v>
      </c>
      <c r="S164" s="323"/>
      <c r="T164" s="318"/>
      <c r="AB164" s="328"/>
      <c r="AQ164" s="329"/>
    </row>
    <row r="165" spans="5:43" s="317" customFormat="1" hidden="1" x14ac:dyDescent="0.35">
      <c r="E165" s="318"/>
      <c r="F165" s="318"/>
      <c r="G165" s="321">
        <v>43880</v>
      </c>
      <c r="H165" s="321"/>
      <c r="I165" s="321"/>
      <c r="J165" s="318"/>
      <c r="K165" s="318"/>
      <c r="L165" s="318"/>
      <c r="M165" s="318"/>
      <c r="N165" s="318"/>
      <c r="O165" s="318"/>
      <c r="P165" s="318"/>
      <c r="Q165" s="318"/>
      <c r="R165" s="323" t="s">
        <v>87</v>
      </c>
      <c r="S165" s="323"/>
      <c r="T165" s="318"/>
      <c r="AB165" s="328"/>
    </row>
    <row r="166" spans="5:43" s="317" customFormat="1" hidden="1" x14ac:dyDescent="0.35">
      <c r="E166" s="318"/>
      <c r="F166" s="318"/>
      <c r="G166" s="321">
        <v>43881</v>
      </c>
      <c r="H166" s="321"/>
      <c r="I166" s="321"/>
      <c r="J166" s="318"/>
      <c r="K166" s="318"/>
      <c r="L166" s="318"/>
      <c r="M166" s="318"/>
      <c r="N166" s="318"/>
      <c r="O166" s="318"/>
      <c r="P166" s="318"/>
      <c r="Q166" s="318"/>
      <c r="R166" s="323" t="s">
        <v>88</v>
      </c>
      <c r="S166" s="323"/>
      <c r="T166" s="318"/>
      <c r="AB166" s="328"/>
    </row>
    <row r="167" spans="5:43" s="317" customFormat="1" hidden="1" x14ac:dyDescent="0.35">
      <c r="E167" s="318"/>
      <c r="F167" s="318"/>
      <c r="G167" s="321">
        <v>43882</v>
      </c>
      <c r="H167" s="321"/>
      <c r="I167" s="321"/>
      <c r="J167" s="318"/>
      <c r="K167" s="318"/>
      <c r="L167" s="318"/>
      <c r="M167" s="318"/>
      <c r="N167" s="318"/>
      <c r="O167" s="318"/>
      <c r="P167" s="318"/>
      <c r="Q167" s="318"/>
      <c r="R167" s="323" t="s">
        <v>89</v>
      </c>
      <c r="S167" s="323"/>
      <c r="T167" s="318"/>
      <c r="AB167" s="328"/>
    </row>
    <row r="168" spans="5:43" s="317" customFormat="1" hidden="1" x14ac:dyDescent="0.35">
      <c r="E168" s="318"/>
      <c r="F168" s="318"/>
      <c r="G168" s="321">
        <v>43883</v>
      </c>
      <c r="H168" s="321"/>
      <c r="I168" s="321"/>
      <c r="J168" s="318"/>
      <c r="K168" s="318"/>
      <c r="L168" s="318"/>
      <c r="M168" s="318"/>
      <c r="N168" s="318"/>
      <c r="O168" s="318"/>
      <c r="P168" s="318"/>
      <c r="Q168" s="318"/>
      <c r="R168" s="323" t="s">
        <v>90</v>
      </c>
      <c r="S168" s="323"/>
      <c r="T168" s="318"/>
      <c r="AB168" s="328"/>
    </row>
    <row r="169" spans="5:43" s="317" customFormat="1" hidden="1" x14ac:dyDescent="0.35">
      <c r="E169" s="318"/>
      <c r="F169" s="318"/>
      <c r="G169" s="321">
        <v>43884</v>
      </c>
      <c r="H169" s="321"/>
      <c r="I169" s="321"/>
      <c r="J169" s="318"/>
      <c r="K169" s="318"/>
      <c r="L169" s="318"/>
      <c r="M169" s="318"/>
      <c r="N169" s="318"/>
      <c r="O169" s="318"/>
      <c r="P169" s="318"/>
      <c r="Q169" s="318"/>
      <c r="R169" s="323" t="s">
        <v>91</v>
      </c>
      <c r="S169" s="323"/>
      <c r="T169" s="318"/>
      <c r="AB169" s="328"/>
    </row>
    <row r="170" spans="5:43" s="317" customFormat="1" hidden="1" x14ac:dyDescent="0.35">
      <c r="E170" s="318"/>
      <c r="F170" s="318"/>
      <c r="G170" s="321">
        <v>43885</v>
      </c>
      <c r="H170" s="321"/>
      <c r="I170" s="321"/>
      <c r="J170" s="318"/>
      <c r="K170" s="318"/>
      <c r="L170" s="318"/>
      <c r="M170" s="318"/>
      <c r="N170" s="318"/>
      <c r="O170" s="318"/>
      <c r="P170" s="318"/>
      <c r="Q170" s="318"/>
      <c r="R170" s="323" t="s">
        <v>92</v>
      </c>
      <c r="S170" s="323"/>
      <c r="T170" s="318"/>
      <c r="AB170" s="328"/>
    </row>
    <row r="171" spans="5:43" s="317" customFormat="1" hidden="1" x14ac:dyDescent="0.35">
      <c r="E171" s="318"/>
      <c r="F171" s="318"/>
      <c r="G171" s="321">
        <v>43886</v>
      </c>
      <c r="H171" s="321"/>
      <c r="I171" s="321"/>
      <c r="J171" s="318"/>
      <c r="K171" s="318"/>
      <c r="L171" s="318"/>
      <c r="M171" s="318"/>
      <c r="N171" s="318"/>
      <c r="O171" s="318"/>
      <c r="P171" s="318"/>
      <c r="Q171" s="318"/>
      <c r="R171" s="323" t="s">
        <v>93</v>
      </c>
      <c r="S171" s="323"/>
      <c r="T171" s="318"/>
      <c r="AB171" s="328"/>
    </row>
    <row r="172" spans="5:43" s="317" customFormat="1" hidden="1" x14ac:dyDescent="0.35">
      <c r="E172" s="318"/>
      <c r="F172" s="318"/>
      <c r="G172" s="321">
        <v>43887</v>
      </c>
      <c r="H172" s="321"/>
      <c r="I172" s="321"/>
      <c r="J172" s="318"/>
      <c r="K172" s="318"/>
      <c r="L172" s="318"/>
      <c r="M172" s="318"/>
      <c r="N172" s="318"/>
      <c r="O172" s="318"/>
      <c r="P172" s="318"/>
      <c r="Q172" s="318"/>
      <c r="R172" s="323" t="s">
        <v>94</v>
      </c>
      <c r="S172" s="323"/>
      <c r="T172" s="318"/>
      <c r="AB172" s="328"/>
    </row>
    <row r="173" spans="5:43" s="317" customFormat="1" hidden="1" x14ac:dyDescent="0.35">
      <c r="E173" s="318"/>
      <c r="F173" s="318"/>
      <c r="G173" s="321">
        <v>43888</v>
      </c>
      <c r="H173" s="321"/>
      <c r="I173" s="321"/>
      <c r="J173" s="318"/>
      <c r="K173" s="318"/>
      <c r="L173" s="318"/>
      <c r="M173" s="318"/>
      <c r="N173" s="318"/>
      <c r="O173" s="318"/>
      <c r="P173" s="318"/>
      <c r="Q173" s="318"/>
      <c r="R173" s="323" t="s">
        <v>95</v>
      </c>
      <c r="S173" s="323"/>
      <c r="T173" s="318"/>
      <c r="AB173" s="328"/>
    </row>
    <row r="174" spans="5:43" s="317" customFormat="1" hidden="1" x14ac:dyDescent="0.35">
      <c r="E174" s="318"/>
      <c r="F174" s="318"/>
      <c r="G174" s="321">
        <v>43889</v>
      </c>
      <c r="H174" s="321"/>
      <c r="I174" s="321"/>
      <c r="J174" s="318"/>
      <c r="K174" s="318"/>
      <c r="L174" s="318"/>
      <c r="M174" s="318"/>
      <c r="N174" s="318"/>
      <c r="O174" s="318"/>
      <c r="P174" s="318"/>
      <c r="Q174" s="318"/>
      <c r="R174" s="323" t="s">
        <v>96</v>
      </c>
      <c r="S174" s="323"/>
      <c r="T174" s="318"/>
      <c r="AB174" s="328"/>
    </row>
    <row r="175" spans="5:43" s="317" customFormat="1" hidden="1" x14ac:dyDescent="0.35">
      <c r="E175" s="318"/>
      <c r="F175" s="318"/>
      <c r="G175" s="321">
        <v>43890</v>
      </c>
      <c r="H175" s="321"/>
      <c r="I175" s="321"/>
      <c r="J175" s="318"/>
      <c r="K175" s="318"/>
      <c r="L175" s="318"/>
      <c r="M175" s="318"/>
      <c r="N175" s="318"/>
      <c r="O175" s="318"/>
      <c r="P175" s="318"/>
      <c r="Q175" s="318"/>
      <c r="R175" s="323" t="s">
        <v>97</v>
      </c>
      <c r="S175" s="323"/>
      <c r="T175" s="318"/>
      <c r="AB175" s="328"/>
    </row>
    <row r="176" spans="5:43" s="317" customFormat="1" hidden="1" x14ac:dyDescent="0.35">
      <c r="E176" s="318"/>
      <c r="F176" s="318"/>
      <c r="G176" s="321">
        <v>43891</v>
      </c>
      <c r="H176" s="321"/>
      <c r="I176" s="321"/>
      <c r="J176" s="318"/>
      <c r="K176" s="318"/>
      <c r="L176" s="318"/>
      <c r="M176" s="318"/>
      <c r="N176" s="318"/>
      <c r="O176" s="318"/>
      <c r="P176" s="318"/>
      <c r="Q176" s="318"/>
      <c r="R176" s="323" t="s">
        <v>98</v>
      </c>
      <c r="S176" s="323"/>
      <c r="T176" s="318"/>
      <c r="AB176" s="328"/>
    </row>
    <row r="177" spans="5:28" s="317" customFormat="1" hidden="1" x14ac:dyDescent="0.35">
      <c r="E177" s="318"/>
      <c r="F177" s="318"/>
      <c r="G177" s="321">
        <v>43892</v>
      </c>
      <c r="H177" s="321"/>
      <c r="I177" s="321"/>
      <c r="J177" s="318"/>
      <c r="K177" s="318"/>
      <c r="L177" s="318"/>
      <c r="M177" s="318"/>
      <c r="N177" s="318"/>
      <c r="O177" s="318"/>
      <c r="P177" s="318"/>
      <c r="Q177" s="318"/>
      <c r="R177" s="323" t="s">
        <v>99</v>
      </c>
      <c r="S177" s="323"/>
      <c r="T177" s="318"/>
      <c r="AB177" s="328"/>
    </row>
    <row r="178" spans="5:28" s="317" customFormat="1" hidden="1" x14ac:dyDescent="0.35">
      <c r="E178" s="318"/>
      <c r="F178" s="318"/>
      <c r="G178" s="321">
        <v>43893</v>
      </c>
      <c r="H178" s="321"/>
      <c r="I178" s="321"/>
      <c r="J178" s="318"/>
      <c r="K178" s="318"/>
      <c r="L178" s="318"/>
      <c r="M178" s="318"/>
      <c r="N178" s="318"/>
      <c r="O178" s="318"/>
      <c r="P178" s="318"/>
      <c r="Q178" s="318"/>
      <c r="R178" s="323" t="s">
        <v>100</v>
      </c>
      <c r="S178" s="323"/>
      <c r="T178" s="318"/>
      <c r="AB178" s="328"/>
    </row>
    <row r="179" spans="5:28" s="317" customFormat="1" hidden="1" x14ac:dyDescent="0.35">
      <c r="E179" s="318"/>
      <c r="F179" s="318"/>
      <c r="G179" s="321">
        <v>43894</v>
      </c>
      <c r="H179" s="321"/>
      <c r="I179" s="321"/>
      <c r="J179" s="318"/>
      <c r="K179" s="318"/>
      <c r="L179" s="318"/>
      <c r="M179" s="318"/>
      <c r="N179" s="318"/>
      <c r="O179" s="318"/>
      <c r="P179" s="318"/>
      <c r="Q179" s="318"/>
      <c r="R179" s="323" t="s">
        <v>101</v>
      </c>
      <c r="S179" s="323"/>
      <c r="T179" s="318"/>
      <c r="AB179" s="328"/>
    </row>
    <row r="180" spans="5:28" s="317" customFormat="1" hidden="1" x14ac:dyDescent="0.35">
      <c r="E180" s="318"/>
      <c r="F180" s="318"/>
      <c r="G180" s="321">
        <v>43895</v>
      </c>
      <c r="H180" s="321"/>
      <c r="I180" s="321"/>
      <c r="J180" s="318"/>
      <c r="K180" s="318"/>
      <c r="L180" s="318"/>
      <c r="M180" s="318"/>
      <c r="N180" s="318"/>
      <c r="O180" s="318"/>
      <c r="P180" s="318"/>
      <c r="Q180" s="318"/>
      <c r="R180" s="323" t="s">
        <v>102</v>
      </c>
      <c r="S180" s="323"/>
      <c r="T180" s="318"/>
      <c r="AB180" s="328"/>
    </row>
    <row r="181" spans="5:28" s="317" customFormat="1" hidden="1" x14ac:dyDescent="0.35">
      <c r="E181" s="318"/>
      <c r="F181" s="318"/>
      <c r="G181" s="321">
        <v>43896</v>
      </c>
      <c r="H181" s="321"/>
      <c r="I181" s="321"/>
      <c r="J181" s="318"/>
      <c r="K181" s="318"/>
      <c r="L181" s="318"/>
      <c r="M181" s="318"/>
      <c r="N181" s="318"/>
      <c r="O181" s="318"/>
      <c r="P181" s="318"/>
      <c r="Q181" s="318"/>
      <c r="R181" s="323" t="s">
        <v>103</v>
      </c>
      <c r="S181" s="323"/>
      <c r="T181" s="318"/>
      <c r="AB181" s="328"/>
    </row>
    <row r="182" spans="5:28" s="317" customFormat="1" hidden="1" x14ac:dyDescent="0.35">
      <c r="E182" s="318"/>
      <c r="F182" s="318"/>
      <c r="G182" s="321">
        <v>43897</v>
      </c>
      <c r="H182" s="321"/>
      <c r="I182" s="321"/>
      <c r="J182" s="318"/>
      <c r="K182" s="318"/>
      <c r="L182" s="318"/>
      <c r="M182" s="318"/>
      <c r="N182" s="318"/>
      <c r="O182" s="318"/>
      <c r="P182" s="318"/>
      <c r="Q182" s="318"/>
      <c r="R182" s="323" t="s">
        <v>104</v>
      </c>
      <c r="S182" s="323"/>
      <c r="T182" s="318"/>
      <c r="AB182" s="328"/>
    </row>
    <row r="183" spans="5:28" s="317" customFormat="1" hidden="1" x14ac:dyDescent="0.35">
      <c r="E183" s="318"/>
      <c r="F183" s="318"/>
      <c r="G183" s="321">
        <v>43898</v>
      </c>
      <c r="H183" s="321"/>
      <c r="I183" s="321"/>
      <c r="J183" s="318"/>
      <c r="K183" s="318"/>
      <c r="L183" s="318"/>
      <c r="M183" s="318"/>
      <c r="N183" s="318"/>
      <c r="O183" s="318"/>
      <c r="P183" s="318"/>
      <c r="Q183" s="318"/>
      <c r="R183" s="323" t="s">
        <v>105</v>
      </c>
      <c r="S183" s="323"/>
      <c r="T183" s="318"/>
      <c r="AB183" s="328"/>
    </row>
    <row r="184" spans="5:28" s="317" customFormat="1" hidden="1" x14ac:dyDescent="0.35">
      <c r="E184" s="318"/>
      <c r="F184" s="318"/>
      <c r="G184" s="321">
        <v>43899</v>
      </c>
      <c r="H184" s="321"/>
      <c r="I184" s="321"/>
      <c r="J184" s="318"/>
      <c r="K184" s="318"/>
      <c r="L184" s="318"/>
      <c r="M184" s="318"/>
      <c r="N184" s="318"/>
      <c r="O184" s="318"/>
      <c r="P184" s="318"/>
      <c r="Q184" s="318"/>
      <c r="R184" s="323" t="s">
        <v>106</v>
      </c>
      <c r="S184" s="323"/>
      <c r="T184" s="318"/>
      <c r="AB184" s="328"/>
    </row>
    <row r="185" spans="5:28" s="317" customFormat="1" hidden="1" x14ac:dyDescent="0.35">
      <c r="E185" s="318"/>
      <c r="F185" s="318"/>
      <c r="G185" s="321">
        <v>43900</v>
      </c>
      <c r="H185" s="321"/>
      <c r="I185" s="321"/>
      <c r="J185" s="318"/>
      <c r="K185" s="318"/>
      <c r="L185" s="318"/>
      <c r="M185" s="318"/>
      <c r="N185" s="318"/>
      <c r="O185" s="318"/>
      <c r="P185" s="318"/>
      <c r="Q185" s="318"/>
      <c r="R185" s="323" t="s">
        <v>107</v>
      </c>
      <c r="S185" s="323"/>
      <c r="T185" s="318"/>
      <c r="AB185" s="328"/>
    </row>
    <row r="186" spans="5:28" s="317" customFormat="1" hidden="1" x14ac:dyDescent="0.35">
      <c r="E186" s="318"/>
      <c r="F186" s="318"/>
      <c r="G186" s="321">
        <v>43901</v>
      </c>
      <c r="H186" s="321"/>
      <c r="I186" s="321"/>
      <c r="J186" s="318"/>
      <c r="K186" s="318"/>
      <c r="L186" s="318"/>
      <c r="M186" s="318"/>
      <c r="N186" s="318"/>
      <c r="O186" s="318"/>
      <c r="P186" s="318"/>
      <c r="Q186" s="318"/>
      <c r="R186" s="323" t="s">
        <v>108</v>
      </c>
      <c r="S186" s="323"/>
      <c r="T186" s="318"/>
      <c r="AB186" s="328"/>
    </row>
    <row r="187" spans="5:28" s="317" customFormat="1" hidden="1" x14ac:dyDescent="0.35">
      <c r="E187" s="318"/>
      <c r="F187" s="318"/>
      <c r="G187" s="321">
        <v>43902</v>
      </c>
      <c r="H187" s="321"/>
      <c r="I187" s="321"/>
      <c r="J187" s="318"/>
      <c r="K187" s="318"/>
      <c r="L187" s="318"/>
      <c r="M187" s="318"/>
      <c r="N187" s="318"/>
      <c r="O187" s="318"/>
      <c r="P187" s="318"/>
      <c r="Q187" s="318"/>
      <c r="R187" s="323" t="s">
        <v>109</v>
      </c>
      <c r="S187" s="323"/>
      <c r="T187" s="318"/>
      <c r="AB187" s="328"/>
    </row>
    <row r="188" spans="5:28" s="317" customFormat="1" hidden="1" x14ac:dyDescent="0.35">
      <c r="E188" s="318"/>
      <c r="F188" s="318"/>
      <c r="G188" s="321">
        <v>43903</v>
      </c>
      <c r="H188" s="321"/>
      <c r="I188" s="321"/>
      <c r="J188" s="318"/>
      <c r="K188" s="318"/>
      <c r="L188" s="318"/>
      <c r="M188" s="318"/>
      <c r="N188" s="318"/>
      <c r="O188" s="318"/>
      <c r="P188" s="318"/>
      <c r="Q188" s="318"/>
      <c r="R188" s="323" t="s">
        <v>110</v>
      </c>
      <c r="S188" s="323"/>
      <c r="T188" s="318"/>
      <c r="AB188" s="328"/>
    </row>
    <row r="189" spans="5:28" s="317" customFormat="1" hidden="1" x14ac:dyDescent="0.35">
      <c r="E189" s="318"/>
      <c r="F189" s="318"/>
      <c r="G189" s="321">
        <v>43904</v>
      </c>
      <c r="H189" s="321"/>
      <c r="I189" s="321"/>
      <c r="J189" s="318"/>
      <c r="K189" s="318"/>
      <c r="L189" s="318"/>
      <c r="M189" s="318"/>
      <c r="N189" s="318"/>
      <c r="O189" s="318"/>
      <c r="P189" s="318"/>
      <c r="Q189" s="318"/>
      <c r="R189" s="323" t="s">
        <v>111</v>
      </c>
      <c r="S189" s="323"/>
      <c r="T189" s="318"/>
      <c r="AB189" s="328"/>
    </row>
    <row r="190" spans="5:28" s="317" customFormat="1" hidden="1" x14ac:dyDescent="0.35">
      <c r="E190" s="318"/>
      <c r="F190" s="318"/>
      <c r="G190" s="321">
        <v>43905</v>
      </c>
      <c r="H190" s="321"/>
      <c r="I190" s="321"/>
      <c r="J190" s="318"/>
      <c r="K190" s="318"/>
      <c r="L190" s="318"/>
      <c r="M190" s="318"/>
      <c r="N190" s="318"/>
      <c r="O190" s="318"/>
      <c r="P190" s="318"/>
      <c r="Q190" s="318"/>
      <c r="R190" s="323" t="s">
        <v>112</v>
      </c>
      <c r="S190" s="323"/>
      <c r="T190" s="318"/>
      <c r="AB190" s="328"/>
    </row>
    <row r="191" spans="5:28" s="317" customFormat="1" hidden="1" x14ac:dyDescent="0.35">
      <c r="E191" s="318"/>
      <c r="F191" s="318"/>
      <c r="G191" s="321">
        <v>43906</v>
      </c>
      <c r="H191" s="321"/>
      <c r="I191" s="321"/>
      <c r="J191" s="318"/>
      <c r="K191" s="318"/>
      <c r="L191" s="318"/>
      <c r="M191" s="318"/>
      <c r="N191" s="318"/>
      <c r="O191" s="318"/>
      <c r="P191" s="318"/>
      <c r="Q191" s="318"/>
      <c r="R191" s="323" t="s">
        <v>113</v>
      </c>
      <c r="S191" s="323"/>
      <c r="T191" s="318"/>
      <c r="AB191" s="328"/>
    </row>
    <row r="192" spans="5:28" s="317" customFormat="1" hidden="1" x14ac:dyDescent="0.35">
      <c r="E192" s="318"/>
      <c r="F192" s="318"/>
      <c r="G192" s="321">
        <v>43907</v>
      </c>
      <c r="H192" s="321"/>
      <c r="I192" s="321"/>
      <c r="J192" s="318"/>
      <c r="K192" s="318"/>
      <c r="L192" s="318"/>
      <c r="M192" s="318"/>
      <c r="N192" s="318"/>
      <c r="O192" s="318"/>
      <c r="P192" s="318"/>
      <c r="Q192" s="318"/>
      <c r="R192" s="323" t="s">
        <v>114</v>
      </c>
      <c r="S192" s="323"/>
      <c r="T192" s="318"/>
      <c r="AB192" s="328"/>
    </row>
    <row r="193" spans="5:28" s="317" customFormat="1" hidden="1" x14ac:dyDescent="0.35">
      <c r="E193" s="318"/>
      <c r="F193" s="318"/>
      <c r="G193" s="321">
        <v>43908</v>
      </c>
      <c r="H193" s="321"/>
      <c r="I193" s="321"/>
      <c r="J193" s="318"/>
      <c r="K193" s="318"/>
      <c r="L193" s="318"/>
      <c r="M193" s="318"/>
      <c r="N193" s="318"/>
      <c r="O193" s="318"/>
      <c r="P193" s="318"/>
      <c r="Q193" s="318"/>
      <c r="R193" s="323" t="s">
        <v>115</v>
      </c>
      <c r="S193" s="323"/>
      <c r="T193" s="318"/>
      <c r="AB193" s="328"/>
    </row>
    <row r="194" spans="5:28" s="317" customFormat="1" hidden="1" x14ac:dyDescent="0.35">
      <c r="E194" s="318"/>
      <c r="F194" s="318"/>
      <c r="G194" s="321">
        <v>43909</v>
      </c>
      <c r="H194" s="321"/>
      <c r="I194" s="321"/>
      <c r="J194" s="318"/>
      <c r="K194" s="318"/>
      <c r="L194" s="318"/>
      <c r="M194" s="318"/>
      <c r="N194" s="318"/>
      <c r="O194" s="318"/>
      <c r="P194" s="318"/>
      <c r="Q194" s="318"/>
      <c r="R194" s="323" t="s">
        <v>116</v>
      </c>
      <c r="S194" s="323"/>
      <c r="T194" s="318"/>
      <c r="AB194" s="328"/>
    </row>
    <row r="195" spans="5:28" s="317" customFormat="1" hidden="1" x14ac:dyDescent="0.35">
      <c r="E195" s="318"/>
      <c r="F195" s="318"/>
      <c r="G195" s="321">
        <v>43910</v>
      </c>
      <c r="H195" s="321"/>
      <c r="I195" s="321"/>
      <c r="J195" s="318"/>
      <c r="K195" s="318"/>
      <c r="L195" s="318"/>
      <c r="M195" s="318"/>
      <c r="N195" s="318"/>
      <c r="O195" s="318"/>
      <c r="P195" s="318"/>
      <c r="Q195" s="318"/>
      <c r="R195" s="323" t="s">
        <v>117</v>
      </c>
      <c r="S195" s="323"/>
      <c r="T195" s="318"/>
      <c r="AB195" s="328"/>
    </row>
    <row r="196" spans="5:28" s="317" customFormat="1" hidden="1" x14ac:dyDescent="0.35">
      <c r="E196" s="318"/>
      <c r="F196" s="318"/>
      <c r="G196" s="321">
        <v>43911</v>
      </c>
      <c r="H196" s="321"/>
      <c r="I196" s="321"/>
      <c r="J196" s="318"/>
      <c r="K196" s="318"/>
      <c r="L196" s="318"/>
      <c r="M196" s="318"/>
      <c r="N196" s="318"/>
      <c r="O196" s="318"/>
      <c r="P196" s="318"/>
      <c r="Q196" s="318"/>
      <c r="R196" s="323" t="s">
        <v>118</v>
      </c>
      <c r="S196" s="323"/>
      <c r="T196" s="318"/>
      <c r="AB196" s="328"/>
    </row>
    <row r="197" spans="5:28" s="317" customFormat="1" hidden="1" x14ac:dyDescent="0.35">
      <c r="E197" s="318"/>
      <c r="F197" s="318"/>
      <c r="G197" s="321">
        <v>43912</v>
      </c>
      <c r="H197" s="321"/>
      <c r="I197" s="321"/>
      <c r="J197" s="318"/>
      <c r="K197" s="318"/>
      <c r="L197" s="318"/>
      <c r="M197" s="318"/>
      <c r="N197" s="318"/>
      <c r="O197" s="318"/>
      <c r="P197" s="318"/>
      <c r="Q197" s="318"/>
      <c r="R197" s="323" t="s">
        <v>119</v>
      </c>
      <c r="S197" s="323"/>
      <c r="T197" s="318"/>
      <c r="AB197" s="328"/>
    </row>
    <row r="198" spans="5:28" s="317" customFormat="1" hidden="1" x14ac:dyDescent="0.35">
      <c r="E198" s="318"/>
      <c r="F198" s="318"/>
      <c r="G198" s="321">
        <v>43913</v>
      </c>
      <c r="H198" s="321"/>
      <c r="I198" s="321"/>
      <c r="J198" s="318"/>
      <c r="K198" s="318"/>
      <c r="L198" s="318"/>
      <c r="M198" s="318"/>
      <c r="N198" s="318"/>
      <c r="O198" s="318"/>
      <c r="P198" s="318"/>
      <c r="Q198" s="318"/>
      <c r="R198" s="323" t="s">
        <v>120</v>
      </c>
      <c r="S198" s="323"/>
      <c r="T198" s="318"/>
      <c r="AB198" s="328"/>
    </row>
    <row r="199" spans="5:28" s="317" customFormat="1" hidden="1" x14ac:dyDescent="0.35">
      <c r="E199" s="318"/>
      <c r="F199" s="318"/>
      <c r="G199" s="321">
        <v>43914</v>
      </c>
      <c r="H199" s="321"/>
      <c r="I199" s="321"/>
      <c r="J199" s="318"/>
      <c r="K199" s="318"/>
      <c r="L199" s="318"/>
      <c r="M199" s="318"/>
      <c r="N199" s="318"/>
      <c r="O199" s="318"/>
      <c r="P199" s="318"/>
      <c r="Q199" s="318"/>
      <c r="R199" s="323" t="s">
        <v>121</v>
      </c>
      <c r="S199" s="323"/>
      <c r="T199" s="318"/>
      <c r="AB199" s="328"/>
    </row>
    <row r="200" spans="5:28" s="317" customFormat="1" hidden="1" x14ac:dyDescent="0.35">
      <c r="E200" s="318"/>
      <c r="F200" s="318"/>
      <c r="G200" s="321">
        <v>43915</v>
      </c>
      <c r="H200" s="321"/>
      <c r="I200" s="321"/>
      <c r="J200" s="318"/>
      <c r="K200" s="318"/>
      <c r="L200" s="318"/>
      <c r="M200" s="318"/>
      <c r="N200" s="318"/>
      <c r="O200" s="318"/>
      <c r="P200" s="318"/>
      <c r="Q200" s="318"/>
      <c r="R200" s="323" t="s">
        <v>122</v>
      </c>
      <c r="S200" s="323"/>
      <c r="T200" s="318"/>
      <c r="AB200" s="328"/>
    </row>
    <row r="201" spans="5:28" s="317" customFormat="1" hidden="1" x14ac:dyDescent="0.35">
      <c r="E201" s="318"/>
      <c r="F201" s="318"/>
      <c r="G201" s="321">
        <v>43916</v>
      </c>
      <c r="H201" s="321"/>
      <c r="I201" s="321"/>
      <c r="J201" s="318"/>
      <c r="K201" s="318"/>
      <c r="L201" s="318"/>
      <c r="M201" s="318"/>
      <c r="N201" s="318"/>
      <c r="O201" s="318"/>
      <c r="P201" s="318"/>
      <c r="Q201" s="318"/>
      <c r="R201" s="323" t="s">
        <v>123</v>
      </c>
      <c r="S201" s="323"/>
      <c r="T201" s="318"/>
      <c r="AB201" s="328"/>
    </row>
    <row r="202" spans="5:28" s="317" customFormat="1" hidden="1" x14ac:dyDescent="0.35">
      <c r="E202" s="318"/>
      <c r="F202" s="318"/>
      <c r="G202" s="321">
        <v>43917</v>
      </c>
      <c r="H202" s="321"/>
      <c r="I202" s="321"/>
      <c r="J202" s="318"/>
      <c r="K202" s="318"/>
      <c r="L202" s="318"/>
      <c r="M202" s="318"/>
      <c r="N202" s="318"/>
      <c r="O202" s="318"/>
      <c r="P202" s="318"/>
      <c r="Q202" s="318"/>
      <c r="R202" s="323" t="s">
        <v>124</v>
      </c>
      <c r="S202" s="323"/>
      <c r="T202" s="318"/>
      <c r="AB202" s="328"/>
    </row>
    <row r="203" spans="5:28" s="317" customFormat="1" hidden="1" x14ac:dyDescent="0.35">
      <c r="E203" s="318"/>
      <c r="F203" s="318"/>
      <c r="G203" s="321">
        <v>43918</v>
      </c>
      <c r="H203" s="321"/>
      <c r="I203" s="321"/>
      <c r="J203" s="318"/>
      <c r="K203" s="318"/>
      <c r="L203" s="318"/>
      <c r="M203" s="318"/>
      <c r="N203" s="318"/>
      <c r="O203" s="318"/>
      <c r="P203" s="318"/>
      <c r="Q203" s="318"/>
      <c r="R203" s="323" t="s">
        <v>125</v>
      </c>
      <c r="S203" s="323"/>
      <c r="T203" s="318"/>
      <c r="AB203" s="328"/>
    </row>
    <row r="204" spans="5:28" s="317" customFormat="1" hidden="1" x14ac:dyDescent="0.35">
      <c r="E204" s="318"/>
      <c r="F204" s="318"/>
      <c r="G204" s="321">
        <v>43919</v>
      </c>
      <c r="H204" s="321"/>
      <c r="I204" s="321"/>
      <c r="J204" s="318"/>
      <c r="K204" s="318"/>
      <c r="L204" s="318"/>
      <c r="M204" s="318"/>
      <c r="N204" s="318"/>
      <c r="O204" s="318"/>
      <c r="P204" s="318"/>
      <c r="Q204" s="318"/>
      <c r="R204" s="323" t="s">
        <v>126</v>
      </c>
      <c r="S204" s="323"/>
      <c r="T204" s="318"/>
      <c r="AB204" s="328"/>
    </row>
    <row r="205" spans="5:28" s="317" customFormat="1" hidden="1" x14ac:dyDescent="0.35">
      <c r="E205" s="318"/>
      <c r="F205" s="318"/>
      <c r="G205" s="321">
        <v>43920</v>
      </c>
      <c r="H205" s="321"/>
      <c r="I205" s="321"/>
      <c r="J205" s="318"/>
      <c r="K205" s="318"/>
      <c r="L205" s="318"/>
      <c r="M205" s="318"/>
      <c r="N205" s="318"/>
      <c r="O205" s="318"/>
      <c r="P205" s="318"/>
      <c r="Q205" s="318"/>
      <c r="R205" s="323" t="s">
        <v>127</v>
      </c>
      <c r="S205" s="323"/>
      <c r="T205" s="318"/>
      <c r="AB205" s="328"/>
    </row>
    <row r="206" spans="5:28" s="317" customFormat="1" hidden="1" x14ac:dyDescent="0.35">
      <c r="E206" s="318"/>
      <c r="F206" s="318"/>
      <c r="G206" s="321">
        <v>43921</v>
      </c>
      <c r="H206" s="321"/>
      <c r="I206" s="321"/>
      <c r="J206" s="318"/>
      <c r="K206" s="318"/>
      <c r="L206" s="318"/>
      <c r="M206" s="318"/>
      <c r="N206" s="318"/>
      <c r="O206" s="318"/>
      <c r="P206" s="318"/>
      <c r="Q206" s="318"/>
      <c r="R206" s="323" t="s">
        <v>128</v>
      </c>
      <c r="S206" s="323"/>
      <c r="T206" s="318"/>
      <c r="AB206" s="328"/>
    </row>
    <row r="207" spans="5:28" s="317" customFormat="1" hidden="1" x14ac:dyDescent="0.35">
      <c r="E207" s="318"/>
      <c r="F207" s="318"/>
      <c r="G207" s="321">
        <v>43922</v>
      </c>
      <c r="H207" s="321"/>
      <c r="I207" s="321"/>
      <c r="J207" s="318"/>
      <c r="K207" s="318"/>
      <c r="L207" s="318"/>
      <c r="M207" s="318"/>
      <c r="N207" s="318"/>
      <c r="O207" s="318"/>
      <c r="P207" s="318"/>
      <c r="Q207" s="318"/>
      <c r="R207" s="323" t="s">
        <v>129</v>
      </c>
      <c r="S207" s="323"/>
      <c r="T207" s="318"/>
      <c r="AB207" s="328"/>
    </row>
    <row r="208" spans="5:28" s="317" customFormat="1" hidden="1" x14ac:dyDescent="0.35">
      <c r="E208" s="318"/>
      <c r="F208" s="318"/>
      <c r="G208" s="321">
        <v>43923</v>
      </c>
      <c r="H208" s="321"/>
      <c r="I208" s="321"/>
      <c r="J208" s="318"/>
      <c r="K208" s="318"/>
      <c r="L208" s="318"/>
      <c r="M208" s="318"/>
      <c r="N208" s="318"/>
      <c r="O208" s="318"/>
      <c r="P208" s="318"/>
      <c r="Q208" s="318"/>
      <c r="R208" s="323" t="s">
        <v>130</v>
      </c>
      <c r="S208" s="323"/>
      <c r="T208" s="318"/>
      <c r="AB208" s="328"/>
    </row>
    <row r="209" spans="5:28" s="317" customFormat="1" hidden="1" x14ac:dyDescent="0.35">
      <c r="E209" s="318"/>
      <c r="F209" s="318"/>
      <c r="G209" s="321">
        <v>43924</v>
      </c>
      <c r="H209" s="321"/>
      <c r="I209" s="321"/>
      <c r="J209" s="318"/>
      <c r="K209" s="318"/>
      <c r="L209" s="318"/>
      <c r="M209" s="318"/>
      <c r="N209" s="318"/>
      <c r="O209" s="318"/>
      <c r="P209" s="318"/>
      <c r="Q209" s="318"/>
      <c r="R209" s="323" t="s">
        <v>131</v>
      </c>
      <c r="S209" s="323"/>
      <c r="T209" s="318"/>
      <c r="AB209" s="328"/>
    </row>
    <row r="210" spans="5:28" s="317" customFormat="1" hidden="1" x14ac:dyDescent="0.35">
      <c r="E210" s="318"/>
      <c r="F210" s="318"/>
      <c r="G210" s="321">
        <v>43925</v>
      </c>
      <c r="H210" s="321"/>
      <c r="I210" s="321"/>
      <c r="J210" s="318"/>
      <c r="K210" s="318"/>
      <c r="L210" s="318"/>
      <c r="M210" s="318"/>
      <c r="N210" s="318"/>
      <c r="O210" s="318"/>
      <c r="P210" s="318"/>
      <c r="Q210" s="318"/>
      <c r="R210" s="323" t="s">
        <v>132</v>
      </c>
      <c r="S210" s="323"/>
      <c r="T210" s="318"/>
      <c r="AB210" s="328"/>
    </row>
    <row r="211" spans="5:28" s="317" customFormat="1" hidden="1" x14ac:dyDescent="0.35">
      <c r="E211" s="318"/>
      <c r="F211" s="318"/>
      <c r="G211" s="321">
        <v>43926</v>
      </c>
      <c r="H211" s="321"/>
      <c r="I211" s="321"/>
      <c r="J211" s="318"/>
      <c r="K211" s="318"/>
      <c r="L211" s="318"/>
      <c r="M211" s="318"/>
      <c r="N211" s="318"/>
      <c r="O211" s="318"/>
      <c r="P211" s="318"/>
      <c r="Q211" s="318"/>
      <c r="R211" s="323" t="s">
        <v>133</v>
      </c>
      <c r="S211" s="323"/>
      <c r="T211" s="318"/>
      <c r="AB211" s="328"/>
    </row>
    <row r="212" spans="5:28" s="317" customFormat="1" hidden="1" x14ac:dyDescent="0.35">
      <c r="E212" s="318"/>
      <c r="F212" s="318"/>
      <c r="G212" s="321">
        <v>43927</v>
      </c>
      <c r="H212" s="321"/>
      <c r="I212" s="321"/>
      <c r="J212" s="318"/>
      <c r="K212" s="318"/>
      <c r="L212" s="318"/>
      <c r="M212" s="318"/>
      <c r="N212" s="318"/>
      <c r="O212" s="318"/>
      <c r="P212" s="318"/>
      <c r="Q212" s="318"/>
      <c r="R212" s="323" t="s">
        <v>134</v>
      </c>
      <c r="S212" s="323"/>
      <c r="T212" s="318"/>
      <c r="AB212" s="328"/>
    </row>
    <row r="213" spans="5:28" s="317" customFormat="1" hidden="1" x14ac:dyDescent="0.35">
      <c r="E213" s="318"/>
      <c r="F213" s="318"/>
      <c r="G213" s="321">
        <v>43928</v>
      </c>
      <c r="H213" s="321"/>
      <c r="I213" s="321"/>
      <c r="J213" s="318"/>
      <c r="K213" s="318"/>
      <c r="L213" s="318"/>
      <c r="M213" s="318"/>
      <c r="N213" s="318"/>
      <c r="O213" s="318"/>
      <c r="P213" s="318"/>
      <c r="Q213" s="318"/>
      <c r="R213" s="323" t="s">
        <v>135</v>
      </c>
      <c r="S213" s="323"/>
      <c r="T213" s="318"/>
      <c r="AB213" s="328"/>
    </row>
    <row r="214" spans="5:28" s="317" customFormat="1" hidden="1" x14ac:dyDescent="0.35">
      <c r="E214" s="318"/>
      <c r="F214" s="318"/>
      <c r="G214" s="321">
        <v>43929</v>
      </c>
      <c r="H214" s="321"/>
      <c r="I214" s="321"/>
      <c r="J214" s="318"/>
      <c r="K214" s="318"/>
      <c r="L214" s="318"/>
      <c r="M214" s="318"/>
      <c r="N214" s="318"/>
      <c r="O214" s="318"/>
      <c r="P214" s="318"/>
      <c r="Q214" s="318"/>
      <c r="R214" s="323" t="s">
        <v>136</v>
      </c>
      <c r="S214" s="323"/>
      <c r="T214" s="318"/>
      <c r="AB214" s="328"/>
    </row>
    <row r="215" spans="5:28" hidden="1" x14ac:dyDescent="0.35">
      <c r="E215" s="318"/>
      <c r="F215" s="318"/>
      <c r="G215" s="321">
        <v>43930</v>
      </c>
      <c r="H215" s="321"/>
      <c r="I215" s="321"/>
      <c r="J215" s="318"/>
      <c r="K215" s="318"/>
      <c r="L215" s="318"/>
      <c r="M215" s="318"/>
      <c r="N215" s="318"/>
      <c r="O215" s="318"/>
      <c r="P215" s="318"/>
      <c r="Q215" s="318"/>
      <c r="R215" s="323" t="s">
        <v>137</v>
      </c>
      <c r="S215" s="323"/>
      <c r="T215" s="318"/>
      <c r="AB215" s="328"/>
    </row>
    <row r="216" spans="5:28" hidden="1" x14ac:dyDescent="0.35">
      <c r="E216" s="318"/>
      <c r="F216" s="318"/>
      <c r="G216" s="321">
        <v>43931</v>
      </c>
      <c r="H216" s="321"/>
      <c r="I216" s="321"/>
      <c r="J216" s="318"/>
      <c r="K216" s="318"/>
      <c r="L216" s="318"/>
      <c r="M216" s="318"/>
      <c r="N216" s="318"/>
      <c r="O216" s="318"/>
      <c r="P216" s="318"/>
      <c r="Q216" s="318"/>
      <c r="R216" s="323" t="s">
        <v>138</v>
      </c>
      <c r="S216" s="323"/>
      <c r="T216" s="318"/>
      <c r="AB216" s="328"/>
    </row>
    <row r="217" spans="5:28" hidden="1" x14ac:dyDescent="0.35">
      <c r="E217" s="318"/>
      <c r="F217" s="318"/>
      <c r="G217" s="321">
        <v>43932</v>
      </c>
      <c r="H217" s="321"/>
      <c r="I217" s="321"/>
      <c r="J217" s="318"/>
      <c r="K217" s="318"/>
      <c r="L217" s="318"/>
      <c r="M217" s="318"/>
      <c r="N217" s="318"/>
      <c r="O217" s="318"/>
      <c r="P217" s="318"/>
      <c r="Q217" s="318"/>
      <c r="R217" s="323" t="s">
        <v>139</v>
      </c>
      <c r="S217" s="323"/>
      <c r="T217" s="318"/>
      <c r="AB217" s="328"/>
    </row>
    <row r="218" spans="5:28" hidden="1" x14ac:dyDescent="0.35">
      <c r="E218" s="318"/>
      <c r="F218" s="318"/>
      <c r="G218" s="321">
        <v>43933</v>
      </c>
      <c r="H218" s="321"/>
      <c r="I218" s="321"/>
      <c r="J218" s="318"/>
      <c r="K218" s="318"/>
      <c r="L218" s="318"/>
      <c r="M218" s="318"/>
      <c r="N218" s="318"/>
      <c r="O218" s="318"/>
      <c r="P218" s="318"/>
      <c r="Q218" s="318"/>
      <c r="R218" s="323" t="s">
        <v>140</v>
      </c>
      <c r="S218" s="323"/>
      <c r="T218" s="318"/>
      <c r="AB218" s="328"/>
    </row>
    <row r="219" spans="5:28" hidden="1" x14ac:dyDescent="0.35">
      <c r="E219" s="318"/>
      <c r="F219" s="318"/>
      <c r="G219" s="321">
        <v>43934</v>
      </c>
      <c r="H219" s="321"/>
      <c r="I219" s="321"/>
      <c r="J219" s="318"/>
      <c r="K219" s="318"/>
      <c r="L219" s="318"/>
      <c r="M219" s="318"/>
      <c r="N219" s="318"/>
      <c r="O219" s="318"/>
      <c r="P219" s="318"/>
      <c r="Q219" s="318"/>
      <c r="R219" s="323" t="s">
        <v>141</v>
      </c>
      <c r="S219" s="323"/>
      <c r="T219" s="318"/>
      <c r="AB219" s="328"/>
    </row>
    <row r="220" spans="5:28" hidden="1" x14ac:dyDescent="0.35">
      <c r="E220" s="318"/>
      <c r="F220" s="318"/>
      <c r="G220" s="321">
        <v>43935</v>
      </c>
      <c r="H220" s="321"/>
      <c r="I220" s="321"/>
      <c r="J220" s="318"/>
      <c r="K220" s="318"/>
      <c r="L220" s="318"/>
      <c r="M220" s="318"/>
      <c r="N220" s="318"/>
      <c r="O220" s="318"/>
      <c r="P220" s="318"/>
      <c r="Q220" s="318"/>
      <c r="R220" s="323" t="s">
        <v>142</v>
      </c>
      <c r="S220" s="323"/>
      <c r="T220" s="318"/>
    </row>
    <row r="221" spans="5:28" hidden="1" x14ac:dyDescent="0.35">
      <c r="E221" s="318"/>
      <c r="F221" s="318"/>
      <c r="G221" s="321">
        <v>43936</v>
      </c>
      <c r="H221" s="321"/>
      <c r="I221" s="321"/>
      <c r="J221" s="318"/>
      <c r="K221" s="318"/>
      <c r="L221" s="318"/>
      <c r="M221" s="318"/>
      <c r="N221" s="318"/>
      <c r="O221" s="318"/>
      <c r="P221" s="318"/>
      <c r="Q221" s="318"/>
      <c r="R221" s="323" t="s">
        <v>143</v>
      </c>
      <c r="S221" s="323"/>
      <c r="T221" s="318"/>
    </row>
    <row r="222" spans="5:28" hidden="1" x14ac:dyDescent="0.35">
      <c r="E222" s="318"/>
      <c r="F222" s="318"/>
      <c r="G222" s="321">
        <v>43937</v>
      </c>
      <c r="H222" s="321"/>
      <c r="I222" s="321"/>
      <c r="J222" s="318"/>
      <c r="K222" s="318"/>
      <c r="L222" s="318"/>
      <c r="M222" s="318"/>
      <c r="N222" s="318"/>
      <c r="O222" s="318"/>
      <c r="P222" s="318"/>
      <c r="Q222" s="318"/>
      <c r="R222" s="323" t="s">
        <v>144</v>
      </c>
      <c r="S222" s="323"/>
      <c r="T222" s="318"/>
    </row>
    <row r="223" spans="5:28" hidden="1" x14ac:dyDescent="0.35">
      <c r="E223" s="318"/>
      <c r="F223" s="318"/>
      <c r="G223" s="321">
        <v>43938</v>
      </c>
      <c r="H223" s="321"/>
      <c r="I223" s="321"/>
      <c r="J223" s="318"/>
      <c r="K223" s="318"/>
      <c r="L223" s="318"/>
      <c r="M223" s="318"/>
      <c r="N223" s="318"/>
      <c r="O223" s="318"/>
      <c r="P223" s="318"/>
      <c r="Q223" s="318"/>
      <c r="R223" s="323" t="s">
        <v>145</v>
      </c>
      <c r="S223" s="323"/>
      <c r="T223" s="318"/>
    </row>
    <row r="224" spans="5:28" hidden="1" x14ac:dyDescent="0.35">
      <c r="E224" s="318"/>
      <c r="F224" s="318"/>
      <c r="G224" s="321">
        <v>43939</v>
      </c>
      <c r="H224" s="321"/>
      <c r="I224" s="321"/>
      <c r="J224" s="318"/>
      <c r="K224" s="318"/>
      <c r="L224" s="318"/>
      <c r="M224" s="318"/>
      <c r="N224" s="318"/>
      <c r="O224" s="318"/>
      <c r="P224" s="318"/>
      <c r="Q224" s="318"/>
      <c r="R224" s="323" t="s">
        <v>146</v>
      </c>
      <c r="S224" s="323"/>
      <c r="T224" s="318"/>
    </row>
    <row r="225" spans="5:20" hidden="1" x14ac:dyDescent="0.35">
      <c r="E225" s="318"/>
      <c r="F225" s="318"/>
      <c r="G225" s="321">
        <v>43940</v>
      </c>
      <c r="H225" s="321"/>
      <c r="I225" s="321"/>
      <c r="J225" s="318"/>
      <c r="K225" s="318"/>
      <c r="L225" s="318"/>
      <c r="M225" s="318"/>
      <c r="N225" s="318"/>
      <c r="O225" s="318"/>
      <c r="P225" s="318"/>
      <c r="Q225" s="318"/>
      <c r="R225" s="323" t="s">
        <v>147</v>
      </c>
      <c r="S225" s="323"/>
      <c r="T225" s="318"/>
    </row>
    <row r="226" spans="5:20" hidden="1" x14ac:dyDescent="0.35">
      <c r="E226" s="318"/>
      <c r="F226" s="318"/>
      <c r="G226" s="321">
        <v>43941</v>
      </c>
      <c r="H226" s="321"/>
      <c r="I226" s="321"/>
      <c r="J226" s="318"/>
      <c r="K226" s="318"/>
      <c r="L226" s="318"/>
      <c r="M226" s="318"/>
      <c r="N226" s="318"/>
      <c r="O226" s="318"/>
      <c r="P226" s="318"/>
      <c r="Q226" s="318"/>
      <c r="R226" s="323" t="s">
        <v>148</v>
      </c>
      <c r="S226" s="323"/>
      <c r="T226" s="318"/>
    </row>
    <row r="227" spans="5:20" hidden="1" x14ac:dyDescent="0.35">
      <c r="E227" s="318"/>
      <c r="F227" s="318"/>
      <c r="G227" s="321">
        <v>43942</v>
      </c>
      <c r="H227" s="321"/>
      <c r="I227" s="321"/>
      <c r="J227" s="318"/>
      <c r="K227" s="318"/>
      <c r="L227" s="318"/>
      <c r="M227" s="318"/>
      <c r="N227" s="318"/>
      <c r="O227" s="318"/>
      <c r="P227" s="318"/>
      <c r="Q227" s="318"/>
      <c r="R227" s="323" t="s">
        <v>149</v>
      </c>
      <c r="S227" s="323"/>
      <c r="T227" s="318"/>
    </row>
    <row r="228" spans="5:20" hidden="1" x14ac:dyDescent="0.35">
      <c r="E228" s="318"/>
      <c r="F228" s="318"/>
      <c r="G228" s="321">
        <v>43943</v>
      </c>
      <c r="H228" s="321"/>
      <c r="I228" s="321"/>
      <c r="J228" s="318"/>
      <c r="K228" s="318"/>
      <c r="L228" s="318"/>
      <c r="M228" s="318"/>
      <c r="N228" s="318"/>
      <c r="O228" s="318"/>
      <c r="P228" s="318"/>
      <c r="Q228" s="318"/>
      <c r="R228" s="323" t="s">
        <v>150</v>
      </c>
      <c r="S228" s="323"/>
      <c r="T228" s="318"/>
    </row>
    <row r="229" spans="5:20" hidden="1" x14ac:dyDescent="0.35">
      <c r="E229" s="318"/>
      <c r="F229" s="318"/>
      <c r="G229" s="321">
        <v>43944</v>
      </c>
      <c r="H229" s="321"/>
      <c r="I229" s="321"/>
      <c r="J229" s="318"/>
      <c r="K229" s="318"/>
      <c r="L229" s="318"/>
      <c r="M229" s="318"/>
      <c r="N229" s="318"/>
      <c r="O229" s="318"/>
      <c r="P229" s="318"/>
      <c r="Q229" s="318"/>
      <c r="R229" s="323" t="s">
        <v>151</v>
      </c>
      <c r="S229" s="323"/>
      <c r="T229" s="318"/>
    </row>
    <row r="230" spans="5:20" hidden="1" x14ac:dyDescent="0.35">
      <c r="E230" s="318"/>
      <c r="F230" s="318"/>
      <c r="G230" s="321">
        <v>43945</v>
      </c>
      <c r="H230" s="321"/>
      <c r="I230" s="321"/>
      <c r="J230" s="318"/>
      <c r="K230" s="318"/>
      <c r="L230" s="318"/>
      <c r="M230" s="318"/>
      <c r="N230" s="318"/>
      <c r="O230" s="318"/>
      <c r="P230" s="318"/>
      <c r="Q230" s="318"/>
      <c r="R230" s="323" t="s">
        <v>152</v>
      </c>
      <c r="S230" s="323"/>
      <c r="T230" s="318"/>
    </row>
    <row r="231" spans="5:20" hidden="1" x14ac:dyDescent="0.35">
      <c r="E231" s="318"/>
      <c r="F231" s="318"/>
      <c r="G231" s="321">
        <v>43946</v>
      </c>
      <c r="H231" s="321"/>
      <c r="I231" s="321"/>
      <c r="J231" s="318"/>
      <c r="K231" s="318"/>
      <c r="L231" s="318"/>
      <c r="M231" s="318"/>
      <c r="N231" s="318"/>
      <c r="O231" s="318"/>
      <c r="P231" s="318"/>
      <c r="Q231" s="318"/>
      <c r="R231" s="323" t="s">
        <v>153</v>
      </c>
      <c r="S231" s="323"/>
      <c r="T231" s="318"/>
    </row>
    <row r="232" spans="5:20" hidden="1" x14ac:dyDescent="0.35">
      <c r="E232" s="318"/>
      <c r="F232" s="318"/>
      <c r="G232" s="321">
        <v>43947</v>
      </c>
      <c r="H232" s="321"/>
      <c r="I232" s="321"/>
      <c r="J232" s="318"/>
      <c r="K232" s="318"/>
      <c r="L232" s="318"/>
      <c r="M232" s="318"/>
      <c r="N232" s="318"/>
      <c r="O232" s="318"/>
      <c r="P232" s="318"/>
      <c r="Q232" s="318"/>
      <c r="R232" s="323" t="s">
        <v>154</v>
      </c>
      <c r="S232" s="323"/>
      <c r="T232" s="318"/>
    </row>
    <row r="233" spans="5:20" hidden="1" x14ac:dyDescent="0.35">
      <c r="E233" s="318"/>
      <c r="F233" s="318"/>
      <c r="G233" s="321">
        <v>43948</v>
      </c>
      <c r="H233" s="321"/>
      <c r="I233" s="321"/>
      <c r="J233" s="318"/>
      <c r="K233" s="318"/>
      <c r="L233" s="318"/>
      <c r="M233" s="318"/>
      <c r="N233" s="318"/>
      <c r="O233" s="318"/>
      <c r="P233" s="318"/>
      <c r="Q233" s="318"/>
      <c r="R233" s="323" t="s">
        <v>155</v>
      </c>
      <c r="S233" s="323"/>
      <c r="T233" s="318"/>
    </row>
    <row r="234" spans="5:20" hidden="1" x14ac:dyDescent="0.35">
      <c r="E234" s="318"/>
      <c r="F234" s="318"/>
      <c r="G234" s="321">
        <v>43949</v>
      </c>
      <c r="H234" s="321"/>
      <c r="I234" s="321"/>
      <c r="J234" s="318"/>
      <c r="K234" s="318"/>
      <c r="L234" s="318"/>
      <c r="M234" s="318"/>
      <c r="N234" s="318"/>
      <c r="O234" s="318"/>
      <c r="P234" s="318"/>
      <c r="Q234" s="318"/>
      <c r="R234" s="323" t="s">
        <v>156</v>
      </c>
      <c r="S234" s="323"/>
      <c r="T234" s="318"/>
    </row>
    <row r="235" spans="5:20" hidden="1" x14ac:dyDescent="0.35">
      <c r="E235" s="318"/>
      <c r="F235" s="318"/>
      <c r="G235" s="321">
        <v>43950</v>
      </c>
      <c r="H235" s="321"/>
      <c r="I235" s="321"/>
      <c r="J235" s="318"/>
      <c r="K235" s="318"/>
      <c r="L235" s="318"/>
      <c r="M235" s="318"/>
      <c r="N235" s="318"/>
      <c r="O235" s="318"/>
      <c r="P235" s="318"/>
      <c r="Q235" s="318"/>
      <c r="R235" s="323" t="s">
        <v>157</v>
      </c>
      <c r="S235" s="323"/>
      <c r="T235" s="318"/>
    </row>
    <row r="236" spans="5:20" hidden="1" x14ac:dyDescent="0.35">
      <c r="E236" s="318"/>
      <c r="F236" s="318"/>
      <c r="G236" s="321">
        <v>43951</v>
      </c>
      <c r="H236" s="321"/>
      <c r="I236" s="321"/>
      <c r="J236" s="318"/>
      <c r="K236" s="318"/>
      <c r="L236" s="318"/>
      <c r="M236" s="318"/>
      <c r="N236" s="318"/>
      <c r="O236" s="318"/>
      <c r="P236" s="318"/>
      <c r="Q236" s="318"/>
      <c r="R236" s="323" t="s">
        <v>158</v>
      </c>
      <c r="S236" s="323"/>
      <c r="T236" s="318"/>
    </row>
    <row r="237" spans="5:20" hidden="1" x14ac:dyDescent="0.35">
      <c r="E237" s="318"/>
      <c r="F237" s="318"/>
      <c r="G237" s="321">
        <v>43952</v>
      </c>
      <c r="H237" s="321"/>
      <c r="I237" s="321"/>
      <c r="J237" s="318"/>
      <c r="K237" s="318"/>
      <c r="L237" s="318"/>
      <c r="M237" s="318"/>
      <c r="N237" s="318"/>
      <c r="O237" s="318"/>
      <c r="P237" s="318"/>
      <c r="Q237" s="318"/>
      <c r="R237" s="323" t="s">
        <v>159</v>
      </c>
      <c r="S237" s="323"/>
      <c r="T237" s="318"/>
    </row>
    <row r="238" spans="5:20" hidden="1" x14ac:dyDescent="0.35">
      <c r="E238" s="318"/>
      <c r="F238" s="318"/>
      <c r="G238" s="321">
        <v>43953</v>
      </c>
      <c r="H238" s="321"/>
      <c r="I238" s="321"/>
      <c r="J238" s="318"/>
      <c r="K238" s="318"/>
      <c r="L238" s="318"/>
      <c r="M238" s="318"/>
      <c r="N238" s="318"/>
      <c r="O238" s="318"/>
      <c r="P238" s="318"/>
      <c r="Q238" s="318"/>
      <c r="R238" s="323" t="s">
        <v>160</v>
      </c>
      <c r="S238" s="323"/>
      <c r="T238" s="318"/>
    </row>
    <row r="239" spans="5:20" hidden="1" x14ac:dyDescent="0.35">
      <c r="E239" s="318"/>
      <c r="F239" s="318"/>
      <c r="G239" s="321">
        <v>43954</v>
      </c>
      <c r="H239" s="321"/>
      <c r="I239" s="321"/>
      <c r="J239" s="318"/>
      <c r="K239" s="318"/>
      <c r="L239" s="318"/>
      <c r="M239" s="318"/>
      <c r="N239" s="318"/>
      <c r="O239" s="318"/>
      <c r="P239" s="318"/>
      <c r="Q239" s="318"/>
      <c r="R239" s="323" t="s">
        <v>161</v>
      </c>
      <c r="S239" s="323"/>
      <c r="T239" s="318"/>
    </row>
    <row r="240" spans="5:20" hidden="1" x14ac:dyDescent="0.35">
      <c r="E240" s="318"/>
      <c r="F240" s="318"/>
      <c r="G240" s="321">
        <v>43955</v>
      </c>
      <c r="H240" s="321"/>
      <c r="I240" s="321"/>
      <c r="J240" s="318"/>
      <c r="K240" s="318"/>
      <c r="L240" s="318"/>
      <c r="M240" s="318"/>
      <c r="N240" s="318"/>
      <c r="O240" s="318"/>
      <c r="P240" s="318"/>
      <c r="Q240" s="318"/>
      <c r="R240" s="323" t="s">
        <v>162</v>
      </c>
      <c r="S240" s="323"/>
      <c r="T240" s="318"/>
    </row>
    <row r="241" spans="5:20" hidden="1" x14ac:dyDescent="0.35">
      <c r="E241" s="318"/>
      <c r="F241" s="318"/>
      <c r="G241" s="321">
        <v>43956</v>
      </c>
      <c r="H241" s="321"/>
      <c r="I241" s="321"/>
      <c r="J241" s="318"/>
      <c r="K241" s="318"/>
      <c r="L241" s="318"/>
      <c r="M241" s="318"/>
      <c r="N241" s="318"/>
      <c r="O241" s="318"/>
      <c r="P241" s="318"/>
      <c r="Q241" s="318"/>
      <c r="R241" s="323" t="s">
        <v>163</v>
      </c>
      <c r="S241" s="323"/>
      <c r="T241" s="318"/>
    </row>
    <row r="242" spans="5:20" hidden="1" x14ac:dyDescent="0.35">
      <c r="E242" s="318"/>
      <c r="F242" s="318"/>
      <c r="G242" s="321">
        <v>43957</v>
      </c>
      <c r="H242" s="321"/>
      <c r="I242" s="321"/>
      <c r="J242" s="318"/>
      <c r="K242" s="318"/>
      <c r="L242" s="318"/>
      <c r="M242" s="318"/>
      <c r="N242" s="318"/>
      <c r="O242" s="318"/>
      <c r="P242" s="318"/>
      <c r="Q242" s="318"/>
      <c r="R242" s="323" t="s">
        <v>164</v>
      </c>
      <c r="S242" s="323"/>
      <c r="T242" s="318"/>
    </row>
    <row r="243" spans="5:20" hidden="1" x14ac:dyDescent="0.35">
      <c r="E243" s="318"/>
      <c r="F243" s="318"/>
      <c r="G243" s="321">
        <v>43958</v>
      </c>
      <c r="H243" s="321"/>
      <c r="I243" s="321"/>
      <c r="J243" s="318"/>
      <c r="K243" s="318"/>
      <c r="L243" s="318"/>
      <c r="M243" s="318"/>
      <c r="N243" s="318"/>
      <c r="O243" s="318"/>
      <c r="P243" s="318"/>
      <c r="Q243" s="318"/>
      <c r="R243" s="323" t="s">
        <v>165</v>
      </c>
      <c r="S243" s="323"/>
      <c r="T243" s="318"/>
    </row>
    <row r="244" spans="5:20" hidden="1" x14ac:dyDescent="0.35">
      <c r="E244" s="318"/>
      <c r="F244" s="318"/>
      <c r="G244" s="321">
        <v>43959</v>
      </c>
      <c r="H244" s="321"/>
      <c r="I244" s="321"/>
      <c r="J244" s="318"/>
      <c r="K244" s="318"/>
      <c r="L244" s="318"/>
      <c r="M244" s="318"/>
      <c r="N244" s="318"/>
      <c r="O244" s="318"/>
      <c r="P244" s="318"/>
      <c r="Q244" s="318"/>
      <c r="R244" s="323" t="s">
        <v>166</v>
      </c>
      <c r="S244" s="323"/>
      <c r="T244" s="318"/>
    </row>
    <row r="245" spans="5:20" hidden="1" x14ac:dyDescent="0.35">
      <c r="E245" s="318"/>
      <c r="F245" s="318"/>
      <c r="G245" s="321">
        <v>43960</v>
      </c>
      <c r="H245" s="321"/>
      <c r="I245" s="321"/>
      <c r="J245" s="318"/>
      <c r="K245" s="318"/>
      <c r="L245" s="318"/>
      <c r="M245" s="318"/>
      <c r="N245" s="318"/>
      <c r="O245" s="318"/>
      <c r="P245" s="318"/>
      <c r="Q245" s="318"/>
      <c r="R245" s="323" t="s">
        <v>167</v>
      </c>
      <c r="S245" s="323"/>
      <c r="T245" s="318"/>
    </row>
    <row r="246" spans="5:20" hidden="1" x14ac:dyDescent="0.35">
      <c r="E246" s="318"/>
      <c r="F246" s="318"/>
      <c r="G246" s="321">
        <v>43961</v>
      </c>
      <c r="H246" s="321"/>
      <c r="I246" s="321"/>
      <c r="J246" s="318"/>
      <c r="K246" s="318"/>
      <c r="L246" s="318"/>
      <c r="M246" s="318"/>
      <c r="N246" s="318"/>
      <c r="O246" s="318"/>
      <c r="P246" s="318"/>
      <c r="Q246" s="318"/>
      <c r="R246" s="323" t="s">
        <v>168</v>
      </c>
      <c r="S246" s="323"/>
      <c r="T246" s="318"/>
    </row>
    <row r="247" spans="5:20" hidden="1" x14ac:dyDescent="0.35">
      <c r="E247" s="318"/>
      <c r="F247" s="318"/>
      <c r="G247" s="321">
        <v>43962</v>
      </c>
      <c r="H247" s="321"/>
      <c r="I247" s="321"/>
      <c r="J247" s="318"/>
      <c r="K247" s="318"/>
      <c r="L247" s="318"/>
      <c r="M247" s="318"/>
      <c r="N247" s="318"/>
      <c r="O247" s="318"/>
      <c r="P247" s="318"/>
      <c r="Q247" s="318"/>
      <c r="R247" s="323" t="s">
        <v>169</v>
      </c>
      <c r="S247" s="323"/>
      <c r="T247" s="318"/>
    </row>
    <row r="248" spans="5:20" hidden="1" x14ac:dyDescent="0.35">
      <c r="E248" s="318"/>
      <c r="F248" s="318"/>
      <c r="G248" s="321">
        <v>43963</v>
      </c>
      <c r="H248" s="321"/>
      <c r="I248" s="321"/>
      <c r="J248" s="318"/>
      <c r="K248" s="318"/>
      <c r="L248" s="318"/>
      <c r="M248" s="318"/>
      <c r="N248" s="318"/>
      <c r="O248" s="318"/>
      <c r="P248" s="318"/>
      <c r="Q248" s="318"/>
      <c r="R248" s="323" t="s">
        <v>170</v>
      </c>
      <c r="S248" s="323"/>
      <c r="T248" s="318"/>
    </row>
    <row r="249" spans="5:20" hidden="1" x14ac:dyDescent="0.35">
      <c r="E249" s="318"/>
      <c r="F249" s="318"/>
      <c r="G249" s="321">
        <v>43964</v>
      </c>
      <c r="H249" s="321"/>
      <c r="I249" s="321"/>
      <c r="J249" s="318"/>
      <c r="K249" s="318"/>
      <c r="L249" s="318"/>
      <c r="M249" s="318"/>
      <c r="N249" s="318"/>
      <c r="O249" s="318"/>
      <c r="P249" s="318"/>
      <c r="Q249" s="318"/>
      <c r="R249" s="323" t="s">
        <v>171</v>
      </c>
      <c r="S249" s="323"/>
      <c r="T249" s="318"/>
    </row>
    <row r="250" spans="5:20" hidden="1" x14ac:dyDescent="0.35">
      <c r="E250" s="318"/>
      <c r="F250" s="318"/>
      <c r="G250" s="321">
        <v>43965</v>
      </c>
      <c r="H250" s="321"/>
      <c r="I250" s="321"/>
      <c r="J250" s="318"/>
      <c r="K250" s="318"/>
      <c r="L250" s="318"/>
      <c r="M250" s="318"/>
      <c r="N250" s="318"/>
      <c r="O250" s="318"/>
      <c r="P250" s="318"/>
      <c r="Q250" s="318"/>
      <c r="R250" s="323" t="s">
        <v>172</v>
      </c>
      <c r="S250" s="323"/>
      <c r="T250" s="318"/>
    </row>
    <row r="251" spans="5:20" hidden="1" x14ac:dyDescent="0.35">
      <c r="E251" s="318"/>
      <c r="F251" s="318"/>
      <c r="G251" s="321">
        <v>43966</v>
      </c>
      <c r="H251" s="321"/>
      <c r="I251" s="321"/>
      <c r="J251" s="318"/>
      <c r="K251" s="318"/>
      <c r="L251" s="318"/>
      <c r="M251" s="318"/>
      <c r="N251" s="318"/>
      <c r="O251" s="318"/>
      <c r="P251" s="318"/>
      <c r="Q251" s="318"/>
      <c r="R251" s="323" t="s">
        <v>173</v>
      </c>
      <c r="S251" s="323"/>
      <c r="T251" s="318"/>
    </row>
    <row r="252" spans="5:20" hidden="1" x14ac:dyDescent="0.35">
      <c r="E252" s="318"/>
      <c r="F252" s="318"/>
      <c r="G252" s="321">
        <v>43967</v>
      </c>
      <c r="H252" s="321"/>
      <c r="I252" s="321"/>
      <c r="J252" s="318"/>
      <c r="K252" s="318"/>
      <c r="L252" s="318"/>
      <c r="M252" s="318"/>
      <c r="N252" s="318"/>
      <c r="O252" s="318"/>
      <c r="P252" s="318"/>
      <c r="Q252" s="318"/>
      <c r="R252" s="323" t="s">
        <v>174</v>
      </c>
      <c r="S252" s="323"/>
      <c r="T252" s="318"/>
    </row>
    <row r="253" spans="5:20" hidden="1" x14ac:dyDescent="0.35">
      <c r="E253" s="318"/>
      <c r="F253" s="318"/>
      <c r="G253" s="321">
        <v>43968</v>
      </c>
      <c r="H253" s="321"/>
      <c r="I253" s="321"/>
      <c r="J253" s="318"/>
      <c r="K253" s="318"/>
      <c r="L253" s="318"/>
      <c r="M253" s="318"/>
      <c r="N253" s="318"/>
      <c r="O253" s="318"/>
      <c r="P253" s="318"/>
      <c r="Q253" s="318"/>
      <c r="R253" s="323" t="s">
        <v>175</v>
      </c>
      <c r="S253" s="323"/>
      <c r="T253" s="318"/>
    </row>
    <row r="254" spans="5:20" hidden="1" x14ac:dyDescent="0.35">
      <c r="E254" s="318"/>
      <c r="F254" s="318"/>
      <c r="G254" s="321">
        <v>43969</v>
      </c>
      <c r="H254" s="321"/>
      <c r="I254" s="321"/>
      <c r="J254" s="318"/>
      <c r="K254" s="318"/>
      <c r="L254" s="318"/>
      <c r="M254" s="318"/>
      <c r="N254" s="318"/>
      <c r="O254" s="318"/>
      <c r="P254" s="318"/>
      <c r="Q254" s="318"/>
      <c r="R254" s="323" t="s">
        <v>176</v>
      </c>
      <c r="S254" s="323"/>
      <c r="T254" s="318"/>
    </row>
    <row r="255" spans="5:20" hidden="1" x14ac:dyDescent="0.35">
      <c r="E255" s="318"/>
      <c r="F255" s="318"/>
      <c r="G255" s="321">
        <v>43970</v>
      </c>
      <c r="H255" s="321"/>
      <c r="I255" s="321"/>
      <c r="J255" s="318"/>
      <c r="K255" s="318"/>
      <c r="L255" s="318"/>
      <c r="M255" s="318"/>
      <c r="N255" s="318"/>
      <c r="O255" s="318"/>
      <c r="P255" s="318"/>
      <c r="Q255" s="318"/>
      <c r="R255" s="323" t="s">
        <v>177</v>
      </c>
      <c r="S255" s="323"/>
      <c r="T255" s="318"/>
    </row>
    <row r="256" spans="5:20" hidden="1" x14ac:dyDescent="0.35">
      <c r="E256" s="318"/>
      <c r="F256" s="318"/>
      <c r="G256" s="321">
        <v>43971</v>
      </c>
      <c r="H256" s="321"/>
      <c r="I256" s="321"/>
      <c r="J256" s="318"/>
      <c r="K256" s="318"/>
      <c r="L256" s="318"/>
      <c r="M256" s="318"/>
      <c r="N256" s="318"/>
      <c r="O256" s="318"/>
      <c r="P256" s="318"/>
      <c r="Q256" s="318"/>
      <c r="R256" s="323" t="s">
        <v>178</v>
      </c>
      <c r="S256" s="323"/>
      <c r="T256" s="318"/>
    </row>
    <row r="257" spans="5:20" hidden="1" x14ac:dyDescent="0.35">
      <c r="E257" s="318"/>
      <c r="F257" s="318"/>
      <c r="G257" s="321">
        <v>43972</v>
      </c>
      <c r="H257" s="321"/>
      <c r="I257" s="321"/>
      <c r="J257" s="318"/>
      <c r="K257" s="318"/>
      <c r="L257" s="318"/>
      <c r="M257" s="318"/>
      <c r="N257" s="318"/>
      <c r="O257" s="318"/>
      <c r="P257" s="318"/>
      <c r="Q257" s="318"/>
      <c r="R257" s="323" t="s">
        <v>179</v>
      </c>
      <c r="S257" s="323"/>
      <c r="T257" s="318"/>
    </row>
    <row r="258" spans="5:20" hidden="1" x14ac:dyDescent="0.35">
      <c r="E258" s="318"/>
      <c r="F258" s="318"/>
      <c r="G258" s="321">
        <v>43973</v>
      </c>
      <c r="H258" s="321"/>
      <c r="I258" s="321"/>
      <c r="J258" s="318"/>
      <c r="K258" s="318"/>
      <c r="L258" s="318"/>
      <c r="M258" s="318"/>
      <c r="N258" s="318"/>
      <c r="O258" s="318"/>
      <c r="P258" s="318"/>
      <c r="Q258" s="318"/>
      <c r="R258" s="323" t="s">
        <v>180</v>
      </c>
      <c r="S258" s="323"/>
      <c r="T258" s="318"/>
    </row>
    <row r="259" spans="5:20" hidden="1" x14ac:dyDescent="0.35">
      <c r="E259" s="318"/>
      <c r="F259" s="318"/>
      <c r="G259" s="321">
        <v>43974</v>
      </c>
      <c r="H259" s="321"/>
      <c r="I259" s="321"/>
      <c r="J259" s="318"/>
      <c r="K259" s="318"/>
      <c r="L259" s="318"/>
      <c r="M259" s="318"/>
      <c r="N259" s="318"/>
      <c r="O259" s="318"/>
      <c r="P259" s="318"/>
      <c r="Q259" s="318"/>
      <c r="R259" s="323" t="s">
        <v>181</v>
      </c>
      <c r="S259" s="323"/>
      <c r="T259" s="318"/>
    </row>
    <row r="260" spans="5:20" hidden="1" x14ac:dyDescent="0.35">
      <c r="E260" s="318"/>
      <c r="F260" s="318"/>
      <c r="G260" s="321">
        <v>43975</v>
      </c>
      <c r="H260" s="321"/>
      <c r="I260" s="321"/>
      <c r="J260" s="318"/>
      <c r="K260" s="318"/>
      <c r="L260" s="318"/>
      <c r="M260" s="318"/>
      <c r="N260" s="318"/>
      <c r="O260" s="318"/>
      <c r="P260" s="318"/>
      <c r="Q260" s="318"/>
      <c r="R260" s="323" t="s">
        <v>182</v>
      </c>
      <c r="S260" s="323"/>
      <c r="T260" s="318"/>
    </row>
    <row r="261" spans="5:20" hidden="1" x14ac:dyDescent="0.35">
      <c r="E261" s="318"/>
      <c r="F261" s="318"/>
      <c r="G261" s="321">
        <v>43976</v>
      </c>
      <c r="H261" s="321"/>
      <c r="I261" s="321"/>
      <c r="J261" s="318"/>
      <c r="K261" s="318"/>
      <c r="L261" s="318"/>
      <c r="M261" s="318"/>
      <c r="N261" s="318"/>
      <c r="O261" s="318"/>
      <c r="P261" s="318"/>
      <c r="Q261" s="318"/>
      <c r="R261" s="323" t="s">
        <v>183</v>
      </c>
      <c r="S261" s="323"/>
      <c r="T261" s="318"/>
    </row>
    <row r="262" spans="5:20" hidden="1" x14ac:dyDescent="0.35">
      <c r="E262" s="318"/>
      <c r="F262" s="318"/>
      <c r="G262" s="321">
        <v>43977</v>
      </c>
      <c r="H262" s="321"/>
      <c r="I262" s="321"/>
      <c r="J262" s="318"/>
      <c r="K262" s="318"/>
      <c r="L262" s="318"/>
      <c r="M262" s="318"/>
      <c r="N262" s="318"/>
      <c r="O262" s="318"/>
      <c r="P262" s="318"/>
      <c r="Q262" s="318"/>
      <c r="R262" s="323" t="s">
        <v>184</v>
      </c>
      <c r="S262" s="323"/>
      <c r="T262" s="318"/>
    </row>
    <row r="263" spans="5:20" hidden="1" x14ac:dyDescent="0.35">
      <c r="E263" s="318"/>
      <c r="F263" s="318"/>
      <c r="G263" s="321">
        <v>43978</v>
      </c>
      <c r="H263" s="321"/>
      <c r="I263" s="321"/>
      <c r="J263" s="318"/>
      <c r="K263" s="318"/>
      <c r="L263" s="318"/>
      <c r="M263" s="318"/>
      <c r="N263" s="318"/>
      <c r="O263" s="318"/>
      <c r="P263" s="318"/>
      <c r="Q263" s="318"/>
      <c r="R263" s="323" t="s">
        <v>185</v>
      </c>
      <c r="S263" s="323"/>
      <c r="T263" s="318"/>
    </row>
    <row r="264" spans="5:20" hidden="1" x14ac:dyDescent="0.35">
      <c r="E264" s="318"/>
      <c r="F264" s="318"/>
      <c r="G264" s="321">
        <v>43979</v>
      </c>
      <c r="H264" s="321"/>
      <c r="I264" s="321"/>
      <c r="J264" s="318"/>
      <c r="K264" s="318"/>
      <c r="L264" s="318"/>
      <c r="M264" s="318"/>
      <c r="N264" s="318"/>
      <c r="O264" s="318"/>
      <c r="P264" s="318"/>
      <c r="Q264" s="318"/>
      <c r="R264" s="323" t="s">
        <v>186</v>
      </c>
      <c r="S264" s="323"/>
      <c r="T264" s="318"/>
    </row>
    <row r="265" spans="5:20" hidden="1" x14ac:dyDescent="0.35">
      <c r="E265" s="318"/>
      <c r="F265" s="318"/>
      <c r="G265" s="321">
        <v>43980</v>
      </c>
      <c r="H265" s="321"/>
      <c r="I265" s="321"/>
      <c r="J265" s="318"/>
      <c r="K265" s="318"/>
      <c r="L265" s="318"/>
      <c r="M265" s="318"/>
      <c r="N265" s="318"/>
      <c r="O265" s="318"/>
      <c r="P265" s="318"/>
      <c r="Q265" s="318"/>
      <c r="R265" s="323" t="s">
        <v>187</v>
      </c>
      <c r="S265" s="323"/>
      <c r="T265" s="318"/>
    </row>
    <row r="266" spans="5:20" hidden="1" x14ac:dyDescent="0.35">
      <c r="E266" s="318"/>
      <c r="F266" s="318"/>
      <c r="G266" s="321">
        <v>43981</v>
      </c>
      <c r="H266" s="321"/>
      <c r="I266" s="321"/>
      <c r="J266" s="318"/>
      <c r="K266" s="318"/>
      <c r="L266" s="318"/>
      <c r="M266" s="318"/>
      <c r="N266" s="318"/>
      <c r="O266" s="318"/>
      <c r="P266" s="318"/>
      <c r="Q266" s="318"/>
      <c r="R266" s="323" t="s">
        <v>188</v>
      </c>
      <c r="S266" s="323"/>
      <c r="T266" s="318"/>
    </row>
    <row r="267" spans="5:20" hidden="1" x14ac:dyDescent="0.35">
      <c r="E267" s="318"/>
      <c r="F267" s="318"/>
      <c r="G267" s="321">
        <v>43982</v>
      </c>
      <c r="H267" s="321"/>
      <c r="I267" s="321"/>
      <c r="J267" s="318"/>
      <c r="K267" s="318"/>
      <c r="L267" s="318"/>
      <c r="M267" s="318"/>
      <c r="N267" s="318"/>
      <c r="O267" s="318"/>
      <c r="P267" s="318"/>
      <c r="Q267" s="318"/>
      <c r="R267" s="323" t="s">
        <v>189</v>
      </c>
      <c r="S267" s="323"/>
      <c r="T267" s="318"/>
    </row>
    <row r="268" spans="5:20" hidden="1" x14ac:dyDescent="0.35">
      <c r="E268" s="318"/>
      <c r="F268" s="318"/>
      <c r="G268" s="321">
        <v>43983</v>
      </c>
      <c r="H268" s="321"/>
      <c r="I268" s="321"/>
      <c r="J268" s="318"/>
      <c r="K268" s="318"/>
      <c r="L268" s="318"/>
      <c r="M268" s="318"/>
      <c r="N268" s="318"/>
      <c r="O268" s="318"/>
      <c r="P268" s="318"/>
      <c r="Q268" s="318"/>
      <c r="R268" s="323" t="s">
        <v>190</v>
      </c>
      <c r="S268" s="323"/>
      <c r="T268" s="318"/>
    </row>
    <row r="269" spans="5:20" hidden="1" x14ac:dyDescent="0.35">
      <c r="E269" s="318"/>
      <c r="F269" s="318"/>
      <c r="G269" s="321">
        <v>43984</v>
      </c>
      <c r="H269" s="321"/>
      <c r="I269" s="321"/>
      <c r="J269" s="318"/>
      <c r="K269" s="318"/>
      <c r="L269" s="318"/>
      <c r="M269" s="318"/>
      <c r="N269" s="318"/>
      <c r="O269" s="318"/>
      <c r="P269" s="318"/>
      <c r="Q269" s="318"/>
      <c r="R269" s="323" t="s">
        <v>191</v>
      </c>
      <c r="S269" s="323"/>
      <c r="T269" s="318"/>
    </row>
    <row r="270" spans="5:20" hidden="1" x14ac:dyDescent="0.35">
      <c r="E270" s="318"/>
      <c r="F270" s="318"/>
      <c r="G270" s="321">
        <v>43985</v>
      </c>
      <c r="H270" s="321"/>
      <c r="I270" s="321"/>
      <c r="J270" s="318"/>
      <c r="K270" s="318"/>
      <c r="L270" s="318"/>
      <c r="M270" s="318"/>
      <c r="N270" s="318"/>
      <c r="O270" s="318"/>
      <c r="P270" s="318"/>
      <c r="Q270" s="318"/>
      <c r="R270" s="323" t="s">
        <v>192</v>
      </c>
      <c r="S270" s="323"/>
      <c r="T270" s="318"/>
    </row>
    <row r="271" spans="5:20" hidden="1" x14ac:dyDescent="0.35">
      <c r="E271" s="318"/>
      <c r="F271" s="318"/>
      <c r="G271" s="321">
        <v>43986</v>
      </c>
      <c r="H271" s="321"/>
      <c r="I271" s="321"/>
      <c r="J271" s="318"/>
      <c r="K271" s="318"/>
      <c r="L271" s="318"/>
      <c r="M271" s="318"/>
      <c r="N271" s="318"/>
      <c r="O271" s="318"/>
      <c r="P271" s="318"/>
      <c r="Q271" s="318"/>
      <c r="R271" s="323" t="s">
        <v>193</v>
      </c>
      <c r="S271" s="323"/>
      <c r="T271" s="318"/>
    </row>
    <row r="272" spans="5:20" hidden="1" x14ac:dyDescent="0.35">
      <c r="E272" s="318"/>
      <c r="F272" s="318"/>
      <c r="G272" s="321">
        <v>43987</v>
      </c>
      <c r="H272" s="321"/>
      <c r="I272" s="321"/>
      <c r="J272" s="318"/>
      <c r="K272" s="318"/>
      <c r="L272" s="318"/>
      <c r="M272" s="318"/>
      <c r="N272" s="318"/>
      <c r="O272" s="318"/>
      <c r="P272" s="318"/>
      <c r="Q272" s="318"/>
      <c r="R272" s="323" t="s">
        <v>194</v>
      </c>
      <c r="S272" s="323"/>
      <c r="T272" s="318"/>
    </row>
    <row r="273" spans="5:20" hidden="1" x14ac:dyDescent="0.35">
      <c r="E273" s="318"/>
      <c r="F273" s="318"/>
      <c r="G273" s="321">
        <v>43988</v>
      </c>
      <c r="H273" s="321"/>
      <c r="I273" s="321"/>
      <c r="J273" s="318"/>
      <c r="K273" s="318"/>
      <c r="L273" s="318"/>
      <c r="M273" s="318"/>
      <c r="N273" s="318"/>
      <c r="O273" s="318"/>
      <c r="P273" s="318"/>
      <c r="Q273" s="318"/>
      <c r="R273" s="323" t="s">
        <v>195</v>
      </c>
      <c r="S273" s="323"/>
      <c r="T273" s="318"/>
    </row>
    <row r="274" spans="5:20" hidden="1" x14ac:dyDescent="0.35">
      <c r="E274" s="318"/>
      <c r="F274" s="318"/>
      <c r="G274" s="321">
        <v>43989</v>
      </c>
      <c r="H274" s="321"/>
      <c r="I274" s="321"/>
      <c r="J274" s="318"/>
      <c r="K274" s="318"/>
      <c r="L274" s="318"/>
      <c r="M274" s="318"/>
      <c r="N274" s="318"/>
      <c r="O274" s="318"/>
      <c r="P274" s="318"/>
      <c r="Q274" s="318"/>
      <c r="R274" s="323" t="s">
        <v>196</v>
      </c>
      <c r="S274" s="323"/>
      <c r="T274" s="318"/>
    </row>
    <row r="275" spans="5:20" hidden="1" x14ac:dyDescent="0.35">
      <c r="E275" s="318"/>
      <c r="F275" s="318"/>
      <c r="G275" s="321">
        <v>43990</v>
      </c>
      <c r="H275" s="321"/>
      <c r="I275" s="321"/>
      <c r="J275" s="318"/>
      <c r="K275" s="318"/>
      <c r="L275" s="318"/>
      <c r="M275" s="318"/>
      <c r="N275" s="318"/>
      <c r="O275" s="318"/>
      <c r="P275" s="318"/>
      <c r="Q275" s="318"/>
      <c r="R275" s="323" t="s">
        <v>197</v>
      </c>
      <c r="S275" s="323"/>
      <c r="T275" s="318"/>
    </row>
    <row r="276" spans="5:20" hidden="1" x14ac:dyDescent="0.35">
      <c r="E276" s="318"/>
      <c r="F276" s="318"/>
      <c r="G276" s="321">
        <v>43991</v>
      </c>
      <c r="H276" s="321"/>
      <c r="I276" s="321"/>
      <c r="J276" s="318"/>
      <c r="K276" s="318"/>
      <c r="L276" s="318"/>
      <c r="M276" s="318"/>
      <c r="N276" s="318"/>
      <c r="O276" s="318"/>
      <c r="P276" s="318"/>
      <c r="Q276" s="318"/>
      <c r="R276" s="323" t="s">
        <v>198</v>
      </c>
      <c r="S276" s="323"/>
      <c r="T276" s="318"/>
    </row>
    <row r="277" spans="5:20" hidden="1" x14ac:dyDescent="0.35">
      <c r="E277" s="318"/>
      <c r="F277" s="318"/>
      <c r="G277" s="321">
        <v>43992</v>
      </c>
      <c r="H277" s="321"/>
      <c r="I277" s="321"/>
      <c r="J277" s="318"/>
      <c r="K277" s="318"/>
      <c r="L277" s="318"/>
      <c r="M277" s="318"/>
      <c r="N277" s="318"/>
      <c r="O277" s="318"/>
      <c r="P277" s="318"/>
      <c r="Q277" s="318"/>
      <c r="R277" s="323" t="s">
        <v>199</v>
      </c>
      <c r="S277" s="323"/>
      <c r="T277" s="318"/>
    </row>
    <row r="278" spans="5:20" hidden="1" x14ac:dyDescent="0.35">
      <c r="E278" s="318"/>
      <c r="F278" s="318"/>
      <c r="G278" s="321">
        <v>43993</v>
      </c>
      <c r="H278" s="321"/>
      <c r="I278" s="321"/>
      <c r="J278" s="318"/>
      <c r="K278" s="318"/>
      <c r="L278" s="318"/>
      <c r="M278" s="318"/>
      <c r="N278" s="318"/>
      <c r="O278" s="318"/>
      <c r="P278" s="318"/>
      <c r="Q278" s="318"/>
      <c r="R278" s="323" t="s">
        <v>200</v>
      </c>
      <c r="S278" s="323"/>
      <c r="T278" s="318"/>
    </row>
    <row r="279" spans="5:20" hidden="1" x14ac:dyDescent="0.35">
      <c r="E279" s="318"/>
      <c r="F279" s="318"/>
      <c r="G279" s="321">
        <v>43994</v>
      </c>
      <c r="H279" s="321"/>
      <c r="I279" s="321"/>
      <c r="J279" s="318"/>
      <c r="K279" s="318"/>
      <c r="L279" s="318"/>
      <c r="M279" s="318"/>
      <c r="N279" s="318"/>
      <c r="O279" s="318"/>
      <c r="P279" s="318"/>
      <c r="Q279" s="318"/>
      <c r="R279" s="323" t="s">
        <v>201</v>
      </c>
      <c r="S279" s="323"/>
      <c r="T279" s="318"/>
    </row>
    <row r="280" spans="5:20" hidden="1" x14ac:dyDescent="0.35">
      <c r="E280" s="318"/>
      <c r="F280" s="318"/>
      <c r="G280" s="321">
        <v>43995</v>
      </c>
      <c r="H280" s="321"/>
      <c r="I280" s="321"/>
      <c r="J280" s="318"/>
      <c r="K280" s="318"/>
      <c r="L280" s="318"/>
      <c r="M280" s="318"/>
      <c r="N280" s="318"/>
      <c r="O280" s="318"/>
      <c r="P280" s="318"/>
      <c r="Q280" s="318"/>
      <c r="R280" s="323" t="s">
        <v>202</v>
      </c>
      <c r="S280" s="323"/>
      <c r="T280" s="318"/>
    </row>
    <row r="281" spans="5:20" hidden="1" x14ac:dyDescent="0.35">
      <c r="E281" s="318"/>
      <c r="F281" s="318"/>
      <c r="G281" s="321">
        <v>43996</v>
      </c>
      <c r="H281" s="321"/>
      <c r="I281" s="321"/>
      <c r="J281" s="318"/>
      <c r="K281" s="318"/>
      <c r="L281" s="318"/>
      <c r="M281" s="318"/>
      <c r="N281" s="318"/>
      <c r="O281" s="318"/>
      <c r="P281" s="318"/>
      <c r="Q281" s="318"/>
      <c r="R281" s="323" t="s">
        <v>203</v>
      </c>
      <c r="S281" s="323"/>
      <c r="T281" s="318"/>
    </row>
    <row r="282" spans="5:20" hidden="1" x14ac:dyDescent="0.35">
      <c r="E282" s="318"/>
      <c r="F282" s="318"/>
      <c r="G282" s="321">
        <v>43997</v>
      </c>
      <c r="H282" s="321"/>
      <c r="I282" s="321"/>
      <c r="J282" s="318"/>
      <c r="K282" s="318"/>
      <c r="L282" s="318"/>
      <c r="M282" s="318"/>
      <c r="N282" s="318"/>
      <c r="O282" s="318"/>
      <c r="P282" s="318"/>
      <c r="Q282" s="318"/>
      <c r="R282" s="323" t="s">
        <v>204</v>
      </c>
      <c r="S282" s="323"/>
      <c r="T282" s="318"/>
    </row>
    <row r="283" spans="5:20" hidden="1" x14ac:dyDescent="0.35">
      <c r="E283" s="318"/>
      <c r="F283" s="318"/>
      <c r="G283" s="321">
        <v>43998</v>
      </c>
      <c r="H283" s="321"/>
      <c r="I283" s="321"/>
      <c r="J283" s="318"/>
      <c r="K283" s="318"/>
      <c r="L283" s="318"/>
      <c r="M283" s="318"/>
      <c r="N283" s="318"/>
      <c r="O283" s="318"/>
      <c r="P283" s="318"/>
      <c r="Q283" s="318"/>
      <c r="R283" s="323" t="s">
        <v>205</v>
      </c>
      <c r="S283" s="323"/>
      <c r="T283" s="318"/>
    </row>
    <row r="284" spans="5:20" hidden="1" x14ac:dyDescent="0.35">
      <c r="E284" s="318"/>
      <c r="F284" s="318"/>
      <c r="G284" s="321">
        <v>43999</v>
      </c>
      <c r="H284" s="321"/>
      <c r="I284" s="321"/>
      <c r="J284" s="318"/>
      <c r="K284" s="318"/>
      <c r="L284" s="318"/>
      <c r="M284" s="318"/>
      <c r="N284" s="318"/>
      <c r="O284" s="318"/>
      <c r="P284" s="318"/>
      <c r="Q284" s="318"/>
      <c r="R284" s="323" t="s">
        <v>206</v>
      </c>
      <c r="S284" s="323"/>
      <c r="T284" s="318"/>
    </row>
    <row r="285" spans="5:20" hidden="1" x14ac:dyDescent="0.35">
      <c r="E285" s="318"/>
      <c r="F285" s="318"/>
      <c r="G285" s="321">
        <v>44000</v>
      </c>
      <c r="H285" s="321"/>
      <c r="I285" s="321"/>
      <c r="J285" s="318"/>
      <c r="K285" s="318"/>
      <c r="L285" s="318"/>
      <c r="M285" s="318"/>
      <c r="N285" s="318"/>
      <c r="O285" s="318"/>
      <c r="P285" s="318"/>
      <c r="Q285" s="318"/>
      <c r="R285" s="323" t="s">
        <v>207</v>
      </c>
      <c r="S285" s="323"/>
      <c r="T285" s="318"/>
    </row>
    <row r="286" spans="5:20" hidden="1" x14ac:dyDescent="0.35">
      <c r="E286" s="318"/>
      <c r="F286" s="318"/>
      <c r="G286" s="321">
        <v>44001</v>
      </c>
      <c r="H286" s="321"/>
      <c r="I286" s="321"/>
      <c r="J286" s="318"/>
      <c r="K286" s="318"/>
      <c r="L286" s="318"/>
      <c r="M286" s="318"/>
      <c r="N286" s="318"/>
      <c r="O286" s="318"/>
      <c r="P286" s="318"/>
      <c r="Q286" s="318"/>
      <c r="R286" s="323" t="s">
        <v>208</v>
      </c>
      <c r="S286" s="323"/>
      <c r="T286" s="318"/>
    </row>
    <row r="287" spans="5:20" hidden="1" x14ac:dyDescent="0.35">
      <c r="E287" s="318"/>
      <c r="F287" s="318"/>
      <c r="G287" s="321">
        <v>44002</v>
      </c>
      <c r="H287" s="321"/>
      <c r="I287" s="321"/>
      <c r="J287" s="318"/>
      <c r="K287" s="318"/>
      <c r="L287" s="318"/>
      <c r="M287" s="318"/>
      <c r="N287" s="318"/>
      <c r="O287" s="318"/>
      <c r="P287" s="318"/>
      <c r="Q287" s="318"/>
      <c r="R287" s="323" t="s">
        <v>209</v>
      </c>
      <c r="S287" s="323"/>
      <c r="T287" s="318"/>
    </row>
    <row r="288" spans="5:20" hidden="1" x14ac:dyDescent="0.35">
      <c r="E288" s="318"/>
      <c r="F288" s="318"/>
      <c r="G288" s="321">
        <v>44003</v>
      </c>
      <c r="H288" s="321"/>
      <c r="I288" s="321"/>
      <c r="J288" s="318"/>
      <c r="K288" s="318"/>
      <c r="L288" s="318"/>
      <c r="M288" s="318"/>
      <c r="N288" s="318"/>
      <c r="O288" s="318"/>
      <c r="P288" s="318"/>
      <c r="Q288" s="318"/>
      <c r="R288" s="323" t="s">
        <v>210</v>
      </c>
      <c r="S288" s="323"/>
      <c r="T288" s="318"/>
    </row>
    <row r="289" spans="5:20" hidden="1" x14ac:dyDescent="0.35">
      <c r="E289" s="318"/>
      <c r="F289" s="318"/>
      <c r="G289" s="321">
        <v>44004</v>
      </c>
      <c r="H289" s="321"/>
      <c r="I289" s="321"/>
      <c r="J289" s="318"/>
      <c r="K289" s="318"/>
      <c r="L289" s="318"/>
      <c r="M289" s="318"/>
      <c r="N289" s="318"/>
      <c r="O289" s="318"/>
      <c r="P289" s="318"/>
      <c r="Q289" s="318"/>
      <c r="R289" s="323" t="s">
        <v>211</v>
      </c>
      <c r="S289" s="323"/>
      <c r="T289" s="318"/>
    </row>
    <row r="290" spans="5:20" hidden="1" x14ac:dyDescent="0.35">
      <c r="E290" s="318"/>
      <c r="F290" s="318"/>
      <c r="G290" s="321">
        <v>44005</v>
      </c>
      <c r="H290" s="321"/>
      <c r="I290" s="321"/>
      <c r="J290" s="318"/>
      <c r="K290" s="318"/>
      <c r="L290" s="318"/>
      <c r="M290" s="318"/>
      <c r="N290" s="318"/>
      <c r="O290" s="318"/>
      <c r="P290" s="318"/>
      <c r="Q290" s="318"/>
      <c r="R290" s="323" t="s">
        <v>212</v>
      </c>
      <c r="S290" s="323"/>
      <c r="T290" s="318"/>
    </row>
    <row r="291" spans="5:20" hidden="1" x14ac:dyDescent="0.35">
      <c r="E291" s="318"/>
      <c r="F291" s="318"/>
      <c r="G291" s="321">
        <v>44006</v>
      </c>
      <c r="H291" s="321"/>
      <c r="I291" s="321"/>
      <c r="J291" s="318"/>
      <c r="K291" s="318"/>
      <c r="L291" s="318"/>
      <c r="M291" s="318"/>
      <c r="N291" s="318"/>
      <c r="O291" s="318"/>
      <c r="P291" s="318"/>
      <c r="Q291" s="318"/>
      <c r="R291" s="323" t="s">
        <v>213</v>
      </c>
      <c r="S291" s="323"/>
      <c r="T291" s="318"/>
    </row>
    <row r="292" spans="5:20" hidden="1" x14ac:dyDescent="0.35">
      <c r="E292" s="318"/>
      <c r="F292" s="318"/>
      <c r="G292" s="321">
        <v>44007</v>
      </c>
      <c r="H292" s="321"/>
      <c r="I292" s="321"/>
      <c r="J292" s="318"/>
      <c r="K292" s="318"/>
      <c r="L292" s="318"/>
      <c r="M292" s="318"/>
      <c r="N292" s="318"/>
      <c r="O292" s="318"/>
      <c r="P292" s="318"/>
      <c r="Q292" s="318"/>
      <c r="R292" s="323" t="s">
        <v>214</v>
      </c>
      <c r="S292" s="323"/>
      <c r="T292" s="318"/>
    </row>
    <row r="293" spans="5:20" hidden="1" x14ac:dyDescent="0.35">
      <c r="E293" s="318"/>
      <c r="F293" s="318"/>
      <c r="G293" s="321">
        <v>44008</v>
      </c>
      <c r="H293" s="321"/>
      <c r="I293" s="321"/>
      <c r="J293" s="318"/>
      <c r="K293" s="318"/>
      <c r="L293" s="318"/>
      <c r="M293" s="318"/>
      <c r="N293" s="318"/>
      <c r="O293" s="318"/>
      <c r="P293" s="318"/>
      <c r="Q293" s="318"/>
      <c r="R293" s="323" t="s">
        <v>215</v>
      </c>
      <c r="S293" s="323"/>
      <c r="T293" s="318"/>
    </row>
    <row r="294" spans="5:20" hidden="1" x14ac:dyDescent="0.35">
      <c r="E294" s="318"/>
      <c r="F294" s="318"/>
      <c r="G294" s="321">
        <v>44009</v>
      </c>
      <c r="H294" s="321"/>
      <c r="I294" s="321"/>
      <c r="J294" s="318"/>
      <c r="K294" s="318"/>
      <c r="L294" s="318"/>
      <c r="M294" s="318"/>
      <c r="N294" s="318"/>
      <c r="O294" s="318"/>
      <c r="P294" s="318"/>
      <c r="Q294" s="318"/>
      <c r="R294" s="323" t="s">
        <v>216</v>
      </c>
      <c r="S294" s="323"/>
      <c r="T294" s="318"/>
    </row>
    <row r="295" spans="5:20" hidden="1" x14ac:dyDescent="0.35">
      <c r="E295" s="318"/>
      <c r="F295" s="318"/>
      <c r="G295" s="321">
        <v>44010</v>
      </c>
      <c r="H295" s="321"/>
      <c r="I295" s="321"/>
      <c r="J295" s="318"/>
      <c r="K295" s="318"/>
      <c r="L295" s="318"/>
      <c r="M295" s="318"/>
      <c r="N295" s="318"/>
      <c r="O295" s="318"/>
      <c r="P295" s="318"/>
      <c r="Q295" s="318"/>
      <c r="R295" s="323" t="s">
        <v>217</v>
      </c>
      <c r="S295" s="323"/>
      <c r="T295" s="318"/>
    </row>
    <row r="296" spans="5:20" hidden="1" x14ac:dyDescent="0.35">
      <c r="E296" s="318"/>
      <c r="F296" s="318"/>
      <c r="G296" s="321">
        <v>44011</v>
      </c>
      <c r="H296" s="321"/>
      <c r="I296" s="321"/>
      <c r="J296" s="318"/>
      <c r="K296" s="318"/>
      <c r="L296" s="318"/>
      <c r="M296" s="318"/>
      <c r="N296" s="318"/>
      <c r="O296" s="318"/>
      <c r="P296" s="318"/>
      <c r="Q296" s="318"/>
      <c r="R296" s="323" t="s">
        <v>218</v>
      </c>
      <c r="S296" s="323"/>
      <c r="T296" s="318"/>
    </row>
    <row r="297" spans="5:20" hidden="1" x14ac:dyDescent="0.35">
      <c r="E297" s="318"/>
      <c r="F297" s="318"/>
      <c r="G297" s="321">
        <v>44012</v>
      </c>
      <c r="H297" s="321"/>
      <c r="I297" s="321"/>
      <c r="J297" s="318"/>
      <c r="K297" s="318"/>
      <c r="L297" s="318"/>
      <c r="M297" s="318"/>
      <c r="N297" s="318"/>
      <c r="O297" s="318"/>
      <c r="P297" s="318"/>
      <c r="Q297" s="318"/>
      <c r="R297" s="323" t="s">
        <v>219</v>
      </c>
      <c r="S297" s="323"/>
      <c r="T297" s="318"/>
    </row>
    <row r="298" spans="5:20" hidden="1" x14ac:dyDescent="0.35">
      <c r="E298" s="318"/>
      <c r="F298" s="318"/>
      <c r="G298" s="321">
        <v>44013</v>
      </c>
      <c r="H298" s="321"/>
      <c r="I298" s="321"/>
      <c r="J298" s="318"/>
      <c r="K298" s="318"/>
      <c r="L298" s="318"/>
      <c r="M298" s="318"/>
      <c r="N298" s="318"/>
      <c r="O298" s="318"/>
      <c r="P298" s="318"/>
      <c r="Q298" s="318"/>
      <c r="R298" s="323" t="s">
        <v>220</v>
      </c>
      <c r="S298" s="323"/>
      <c r="T298" s="318"/>
    </row>
    <row r="299" spans="5:20" hidden="1" x14ac:dyDescent="0.35">
      <c r="E299" s="318"/>
      <c r="F299" s="318"/>
      <c r="G299" s="321">
        <v>44014</v>
      </c>
      <c r="H299" s="321"/>
      <c r="I299" s="321"/>
      <c r="J299" s="318"/>
      <c r="K299" s="318"/>
      <c r="L299" s="318"/>
      <c r="M299" s="318"/>
      <c r="N299" s="318"/>
      <c r="O299" s="318"/>
      <c r="P299" s="318"/>
      <c r="Q299" s="318"/>
      <c r="R299" s="323" t="s">
        <v>221</v>
      </c>
      <c r="S299" s="323"/>
      <c r="T299" s="318"/>
    </row>
    <row r="300" spans="5:20" hidden="1" x14ac:dyDescent="0.35">
      <c r="E300" s="318"/>
      <c r="F300" s="318"/>
      <c r="G300" s="321">
        <v>44015</v>
      </c>
      <c r="H300" s="321"/>
      <c r="I300" s="321"/>
      <c r="J300" s="318"/>
      <c r="K300" s="318"/>
      <c r="L300" s="318"/>
      <c r="M300" s="318"/>
      <c r="N300" s="318"/>
      <c r="O300" s="318"/>
      <c r="P300" s="318"/>
      <c r="Q300" s="318"/>
      <c r="R300" s="323" t="s">
        <v>222</v>
      </c>
      <c r="S300" s="323"/>
      <c r="T300" s="318"/>
    </row>
    <row r="301" spans="5:20" hidden="1" x14ac:dyDescent="0.35">
      <c r="E301" s="318"/>
      <c r="F301" s="318"/>
      <c r="G301" s="321">
        <v>44016</v>
      </c>
      <c r="H301" s="321"/>
      <c r="I301" s="321"/>
      <c r="J301" s="318"/>
      <c r="K301" s="318"/>
      <c r="L301" s="318"/>
      <c r="M301" s="318"/>
      <c r="N301" s="318"/>
      <c r="O301" s="318"/>
      <c r="P301" s="318"/>
      <c r="Q301" s="318"/>
      <c r="R301" s="323" t="s">
        <v>223</v>
      </c>
      <c r="S301" s="323"/>
      <c r="T301" s="318"/>
    </row>
    <row r="302" spans="5:20" hidden="1" x14ac:dyDescent="0.35">
      <c r="E302" s="318"/>
      <c r="F302" s="318"/>
      <c r="G302" s="321">
        <v>44017</v>
      </c>
      <c r="H302" s="321"/>
      <c r="I302" s="321"/>
      <c r="J302" s="318"/>
      <c r="K302" s="318"/>
      <c r="L302" s="318"/>
      <c r="M302" s="318"/>
      <c r="N302" s="318"/>
      <c r="O302" s="318"/>
      <c r="P302" s="318"/>
      <c r="Q302" s="318"/>
      <c r="R302" s="323" t="s">
        <v>224</v>
      </c>
      <c r="S302" s="323"/>
      <c r="T302" s="318"/>
    </row>
    <row r="303" spans="5:20" hidden="1" x14ac:dyDescent="0.35">
      <c r="E303" s="318"/>
      <c r="F303" s="318"/>
      <c r="G303" s="321">
        <v>44018</v>
      </c>
      <c r="H303" s="321"/>
      <c r="I303" s="321"/>
      <c r="J303" s="318"/>
      <c r="K303" s="318"/>
      <c r="L303" s="318"/>
      <c r="M303" s="318"/>
      <c r="N303" s="318"/>
      <c r="O303" s="318"/>
      <c r="P303" s="318"/>
      <c r="Q303" s="318"/>
      <c r="R303" s="323" t="s">
        <v>225</v>
      </c>
      <c r="S303" s="323"/>
      <c r="T303" s="318"/>
    </row>
    <row r="304" spans="5:20" hidden="1" x14ac:dyDescent="0.35">
      <c r="E304" s="318"/>
      <c r="F304" s="318"/>
      <c r="G304" s="321">
        <v>44019</v>
      </c>
      <c r="H304" s="321"/>
      <c r="I304" s="321"/>
      <c r="J304" s="318"/>
      <c r="K304" s="318"/>
      <c r="L304" s="318"/>
      <c r="M304" s="318"/>
      <c r="N304" s="318"/>
      <c r="O304" s="318"/>
      <c r="P304" s="318"/>
      <c r="Q304" s="318"/>
      <c r="R304" s="323" t="s">
        <v>226</v>
      </c>
      <c r="S304" s="323"/>
      <c r="T304" s="318"/>
    </row>
    <row r="305" spans="5:20" hidden="1" x14ac:dyDescent="0.35">
      <c r="E305" s="318"/>
      <c r="F305" s="318"/>
      <c r="G305" s="321">
        <v>44020</v>
      </c>
      <c r="H305" s="321"/>
      <c r="I305" s="321"/>
      <c r="J305" s="318"/>
      <c r="K305" s="318"/>
      <c r="L305" s="318"/>
      <c r="M305" s="318"/>
      <c r="N305" s="318"/>
      <c r="O305" s="318"/>
      <c r="P305" s="318"/>
      <c r="Q305" s="318"/>
      <c r="R305" s="323" t="s">
        <v>227</v>
      </c>
      <c r="S305" s="323"/>
      <c r="T305" s="318"/>
    </row>
    <row r="306" spans="5:20" hidden="1" x14ac:dyDescent="0.35">
      <c r="E306" s="318"/>
      <c r="F306" s="318"/>
      <c r="G306" s="321">
        <v>44021</v>
      </c>
      <c r="H306" s="321"/>
      <c r="I306" s="321"/>
      <c r="J306" s="318"/>
      <c r="K306" s="318"/>
      <c r="L306" s="318"/>
      <c r="M306" s="318"/>
      <c r="N306" s="318"/>
      <c r="O306" s="318"/>
      <c r="P306" s="318"/>
      <c r="Q306" s="318"/>
      <c r="R306" s="323" t="s">
        <v>228</v>
      </c>
      <c r="S306" s="323"/>
      <c r="T306" s="318"/>
    </row>
    <row r="307" spans="5:20" hidden="1" x14ac:dyDescent="0.35">
      <c r="E307" s="318"/>
      <c r="F307" s="318"/>
      <c r="G307" s="321">
        <v>44022</v>
      </c>
      <c r="H307" s="321"/>
      <c r="I307" s="321"/>
      <c r="J307" s="318"/>
      <c r="K307" s="318"/>
      <c r="L307" s="318"/>
      <c r="M307" s="318"/>
      <c r="N307" s="318"/>
      <c r="O307" s="318"/>
      <c r="P307" s="318"/>
      <c r="Q307" s="318"/>
      <c r="R307" s="323" t="s">
        <v>229</v>
      </c>
      <c r="S307" s="323"/>
      <c r="T307" s="318"/>
    </row>
    <row r="308" spans="5:20" hidden="1" x14ac:dyDescent="0.35">
      <c r="E308" s="318"/>
      <c r="F308" s="318"/>
      <c r="G308" s="321">
        <v>44023</v>
      </c>
      <c r="H308" s="321"/>
      <c r="I308" s="321"/>
      <c r="J308" s="318"/>
      <c r="K308" s="318"/>
      <c r="L308" s="318"/>
      <c r="M308" s="318"/>
      <c r="N308" s="318"/>
      <c r="O308" s="318"/>
      <c r="P308" s="318"/>
      <c r="Q308" s="318"/>
      <c r="R308" s="323" t="s">
        <v>230</v>
      </c>
      <c r="S308" s="323"/>
      <c r="T308" s="318"/>
    </row>
    <row r="309" spans="5:20" hidden="1" x14ac:dyDescent="0.35">
      <c r="E309" s="318"/>
      <c r="F309" s="318"/>
      <c r="G309" s="321">
        <v>44024</v>
      </c>
      <c r="H309" s="321"/>
      <c r="I309" s="321"/>
      <c r="J309" s="318"/>
      <c r="K309" s="318"/>
      <c r="L309" s="318"/>
      <c r="M309" s="318"/>
      <c r="N309" s="318"/>
      <c r="O309" s="318"/>
      <c r="P309" s="318"/>
      <c r="Q309" s="318"/>
      <c r="R309" s="323" t="s">
        <v>231</v>
      </c>
      <c r="S309" s="323"/>
      <c r="T309" s="318"/>
    </row>
    <row r="310" spans="5:20" hidden="1" x14ac:dyDescent="0.35">
      <c r="E310" s="318"/>
      <c r="F310" s="318"/>
      <c r="G310" s="321">
        <v>44025</v>
      </c>
      <c r="H310" s="321"/>
      <c r="I310" s="321"/>
      <c r="J310" s="318"/>
      <c r="K310" s="318"/>
      <c r="L310" s="318"/>
      <c r="M310" s="318"/>
      <c r="N310" s="318"/>
      <c r="O310" s="318"/>
      <c r="P310" s="318"/>
      <c r="Q310" s="318"/>
      <c r="R310" s="323" t="s">
        <v>232</v>
      </c>
      <c r="S310" s="323"/>
      <c r="T310" s="318"/>
    </row>
    <row r="311" spans="5:20" hidden="1" x14ac:dyDescent="0.35">
      <c r="E311" s="318"/>
      <c r="F311" s="318"/>
      <c r="G311" s="321">
        <v>44026</v>
      </c>
      <c r="H311" s="321"/>
      <c r="I311" s="321"/>
      <c r="J311" s="318"/>
      <c r="K311" s="318"/>
      <c r="L311" s="318"/>
      <c r="M311" s="318"/>
      <c r="N311" s="318"/>
      <c r="O311" s="318"/>
      <c r="P311" s="318"/>
      <c r="Q311" s="318"/>
      <c r="R311" s="323" t="s">
        <v>233</v>
      </c>
      <c r="S311" s="323"/>
      <c r="T311" s="318"/>
    </row>
    <row r="312" spans="5:20" hidden="1" x14ac:dyDescent="0.35">
      <c r="E312" s="318"/>
      <c r="F312" s="318"/>
      <c r="G312" s="321">
        <v>44027</v>
      </c>
      <c r="H312" s="321"/>
      <c r="I312" s="321"/>
      <c r="J312" s="318"/>
      <c r="K312" s="318"/>
      <c r="L312" s="318"/>
      <c r="M312" s="318"/>
      <c r="N312" s="318"/>
      <c r="O312" s="318"/>
      <c r="P312" s="318"/>
      <c r="Q312" s="318"/>
      <c r="R312" s="323" t="s">
        <v>234</v>
      </c>
      <c r="S312" s="323"/>
      <c r="T312" s="318"/>
    </row>
    <row r="313" spans="5:20" hidden="1" x14ac:dyDescent="0.35">
      <c r="E313" s="318"/>
      <c r="F313" s="318"/>
      <c r="G313" s="321">
        <v>44028</v>
      </c>
      <c r="H313" s="321"/>
      <c r="I313" s="321"/>
      <c r="J313" s="318"/>
      <c r="K313" s="318"/>
      <c r="L313" s="318"/>
      <c r="M313" s="318"/>
      <c r="N313" s="318"/>
      <c r="O313" s="318"/>
      <c r="P313" s="318"/>
      <c r="Q313" s="318"/>
      <c r="R313" s="323" t="s">
        <v>235</v>
      </c>
      <c r="S313" s="323"/>
      <c r="T313" s="318"/>
    </row>
    <row r="314" spans="5:20" hidden="1" x14ac:dyDescent="0.35">
      <c r="E314" s="318"/>
      <c r="F314" s="318"/>
      <c r="G314" s="321">
        <v>44029</v>
      </c>
      <c r="H314" s="321"/>
      <c r="I314" s="321"/>
      <c r="J314" s="318"/>
      <c r="K314" s="318"/>
      <c r="L314" s="318"/>
      <c r="M314" s="318"/>
      <c r="N314" s="318"/>
      <c r="O314" s="318"/>
      <c r="P314" s="318"/>
      <c r="Q314" s="318"/>
      <c r="R314" s="323" t="s">
        <v>236</v>
      </c>
      <c r="S314" s="323"/>
      <c r="T314" s="318"/>
    </row>
    <row r="315" spans="5:20" hidden="1" x14ac:dyDescent="0.35">
      <c r="E315" s="318"/>
      <c r="F315" s="318"/>
      <c r="G315" s="321">
        <v>44030</v>
      </c>
      <c r="H315" s="321"/>
      <c r="I315" s="321"/>
      <c r="J315" s="318"/>
      <c r="K315" s="318"/>
      <c r="L315" s="318"/>
      <c r="M315" s="318"/>
      <c r="N315" s="318"/>
      <c r="O315" s="318"/>
      <c r="P315" s="318"/>
      <c r="Q315" s="318"/>
      <c r="R315" s="323" t="s">
        <v>237</v>
      </c>
      <c r="S315" s="323"/>
      <c r="T315" s="318"/>
    </row>
    <row r="316" spans="5:20" hidden="1" x14ac:dyDescent="0.35">
      <c r="E316" s="318"/>
      <c r="F316" s="318"/>
      <c r="G316" s="321">
        <v>44031</v>
      </c>
      <c r="H316" s="321"/>
      <c r="I316" s="321"/>
      <c r="J316" s="318"/>
      <c r="K316" s="318"/>
      <c r="L316" s="318"/>
      <c r="M316" s="318"/>
      <c r="N316" s="318"/>
      <c r="O316" s="318"/>
      <c r="P316" s="318"/>
      <c r="Q316" s="318"/>
      <c r="R316" s="323" t="s">
        <v>238</v>
      </c>
      <c r="S316" s="323"/>
      <c r="T316" s="318"/>
    </row>
    <row r="317" spans="5:20" hidden="1" x14ac:dyDescent="0.35">
      <c r="E317" s="318"/>
      <c r="F317" s="318"/>
      <c r="G317" s="321">
        <v>44032</v>
      </c>
      <c r="H317" s="321"/>
      <c r="I317" s="321"/>
      <c r="J317" s="318"/>
      <c r="K317" s="318"/>
      <c r="L317" s="318"/>
      <c r="M317" s="318"/>
      <c r="N317" s="318"/>
      <c r="O317" s="318"/>
      <c r="P317" s="318"/>
      <c r="Q317" s="318"/>
      <c r="R317" s="323" t="s">
        <v>239</v>
      </c>
      <c r="S317" s="323"/>
      <c r="T317" s="318"/>
    </row>
    <row r="318" spans="5:20" hidden="1" x14ac:dyDescent="0.35">
      <c r="E318" s="318"/>
      <c r="F318" s="318"/>
      <c r="G318" s="321">
        <v>44033</v>
      </c>
      <c r="H318" s="321"/>
      <c r="I318" s="321"/>
      <c r="J318" s="318"/>
      <c r="K318" s="318"/>
      <c r="L318" s="318"/>
      <c r="M318" s="318"/>
      <c r="N318" s="318"/>
      <c r="O318" s="318"/>
      <c r="P318" s="318"/>
      <c r="Q318" s="318"/>
      <c r="R318" s="323" t="s">
        <v>240</v>
      </c>
      <c r="S318" s="323"/>
      <c r="T318" s="318"/>
    </row>
    <row r="319" spans="5:20" hidden="1" x14ac:dyDescent="0.35">
      <c r="E319" s="318"/>
      <c r="F319" s="318"/>
      <c r="G319" s="321">
        <v>44034</v>
      </c>
      <c r="H319" s="321"/>
      <c r="I319" s="321"/>
      <c r="J319" s="318"/>
      <c r="K319" s="318"/>
      <c r="L319" s="318"/>
      <c r="M319" s="318"/>
      <c r="N319" s="318"/>
      <c r="O319" s="318"/>
      <c r="P319" s="318"/>
      <c r="Q319" s="318"/>
      <c r="R319" s="323" t="s">
        <v>241</v>
      </c>
      <c r="S319" s="323"/>
      <c r="T319" s="318"/>
    </row>
    <row r="320" spans="5:20" hidden="1" x14ac:dyDescent="0.35">
      <c r="E320" s="318"/>
      <c r="F320" s="318"/>
      <c r="G320" s="321">
        <v>44035</v>
      </c>
      <c r="H320" s="321"/>
      <c r="I320" s="321"/>
      <c r="J320" s="318"/>
      <c r="K320" s="318"/>
      <c r="L320" s="318"/>
      <c r="M320" s="318"/>
      <c r="N320" s="318"/>
      <c r="O320" s="318"/>
      <c r="P320" s="318"/>
      <c r="Q320" s="318"/>
      <c r="R320" s="323" t="s">
        <v>242</v>
      </c>
      <c r="S320" s="323"/>
      <c r="T320" s="318"/>
    </row>
    <row r="321" spans="5:20" hidden="1" x14ac:dyDescent="0.35">
      <c r="E321" s="318"/>
      <c r="F321" s="318"/>
      <c r="G321" s="321">
        <v>44036</v>
      </c>
      <c r="H321" s="321"/>
      <c r="I321" s="321"/>
      <c r="J321" s="318"/>
      <c r="K321" s="318"/>
      <c r="L321" s="318"/>
      <c r="M321" s="318"/>
      <c r="N321" s="318"/>
      <c r="O321" s="318"/>
      <c r="P321" s="318"/>
      <c r="Q321" s="318"/>
      <c r="R321" s="323" t="s">
        <v>243</v>
      </c>
      <c r="S321" s="323"/>
      <c r="T321" s="318"/>
    </row>
    <row r="322" spans="5:20" hidden="1" x14ac:dyDescent="0.35">
      <c r="E322" s="318"/>
      <c r="F322" s="318"/>
      <c r="G322" s="321">
        <v>44037</v>
      </c>
      <c r="H322" s="321"/>
      <c r="I322" s="321"/>
      <c r="J322" s="318"/>
      <c r="K322" s="318"/>
      <c r="L322" s="318"/>
      <c r="M322" s="318"/>
      <c r="N322" s="318"/>
      <c r="O322" s="318"/>
      <c r="P322" s="318"/>
      <c r="Q322" s="318"/>
      <c r="R322" s="323" t="s">
        <v>244</v>
      </c>
      <c r="S322" s="323"/>
      <c r="T322" s="318"/>
    </row>
    <row r="323" spans="5:20" hidden="1" x14ac:dyDescent="0.35">
      <c r="E323" s="318"/>
      <c r="F323" s="318"/>
      <c r="G323" s="321">
        <v>44038</v>
      </c>
      <c r="H323" s="321"/>
      <c r="I323" s="321"/>
      <c r="J323" s="318"/>
      <c r="K323" s="318"/>
      <c r="L323" s="318"/>
      <c r="M323" s="318"/>
      <c r="N323" s="318"/>
      <c r="O323" s="318"/>
      <c r="P323" s="318"/>
      <c r="Q323" s="318"/>
      <c r="R323" s="323" t="s">
        <v>245</v>
      </c>
      <c r="S323" s="323"/>
      <c r="T323" s="318"/>
    </row>
    <row r="324" spans="5:20" hidden="1" x14ac:dyDescent="0.35">
      <c r="E324" s="318"/>
      <c r="F324" s="318"/>
      <c r="G324" s="321">
        <v>44039</v>
      </c>
      <c r="H324" s="321"/>
      <c r="I324" s="321"/>
      <c r="J324" s="318"/>
      <c r="K324" s="318"/>
      <c r="L324" s="318"/>
      <c r="M324" s="318"/>
      <c r="N324" s="318"/>
      <c r="O324" s="318"/>
      <c r="P324" s="318"/>
      <c r="Q324" s="318"/>
      <c r="R324" s="323" t="s">
        <v>246</v>
      </c>
      <c r="S324" s="323"/>
      <c r="T324" s="318"/>
    </row>
    <row r="325" spans="5:20" hidden="1" x14ac:dyDescent="0.35">
      <c r="E325" s="318"/>
      <c r="F325" s="318"/>
      <c r="G325" s="321">
        <v>44040</v>
      </c>
      <c r="H325" s="321"/>
      <c r="I325" s="321"/>
      <c r="J325" s="318"/>
      <c r="K325" s="318"/>
      <c r="L325" s="318"/>
      <c r="M325" s="318"/>
      <c r="N325" s="318"/>
      <c r="O325" s="318"/>
      <c r="P325" s="318"/>
      <c r="Q325" s="318"/>
      <c r="R325" s="323" t="s">
        <v>247</v>
      </c>
      <c r="S325" s="323"/>
      <c r="T325" s="318"/>
    </row>
    <row r="326" spans="5:20" hidden="1" x14ac:dyDescent="0.35">
      <c r="E326" s="318"/>
      <c r="F326" s="318"/>
      <c r="G326" s="321">
        <v>44041</v>
      </c>
      <c r="H326" s="321"/>
      <c r="I326" s="321"/>
      <c r="J326" s="318"/>
      <c r="K326" s="318"/>
      <c r="L326" s="318"/>
      <c r="M326" s="318"/>
      <c r="N326" s="318"/>
      <c r="O326" s="318"/>
      <c r="P326" s="318"/>
      <c r="Q326" s="318"/>
      <c r="R326" s="323" t="s">
        <v>248</v>
      </c>
      <c r="S326" s="323"/>
      <c r="T326" s="318"/>
    </row>
    <row r="327" spans="5:20" hidden="1" x14ac:dyDescent="0.35">
      <c r="E327" s="318"/>
      <c r="F327" s="318"/>
      <c r="G327" s="321">
        <v>44042</v>
      </c>
      <c r="H327" s="321"/>
      <c r="I327" s="321"/>
      <c r="J327" s="318"/>
      <c r="K327" s="318"/>
      <c r="L327" s="318"/>
      <c r="M327" s="318"/>
      <c r="N327" s="318"/>
      <c r="O327" s="318"/>
      <c r="P327" s="318"/>
      <c r="Q327" s="318"/>
      <c r="R327" s="323" t="s">
        <v>249</v>
      </c>
      <c r="S327" s="323"/>
      <c r="T327" s="318"/>
    </row>
    <row r="328" spans="5:20" hidden="1" x14ac:dyDescent="0.35">
      <c r="E328" s="318"/>
      <c r="F328" s="318"/>
      <c r="G328" s="321">
        <v>44043</v>
      </c>
      <c r="H328" s="321"/>
      <c r="I328" s="321"/>
      <c r="J328" s="318"/>
      <c r="K328" s="318"/>
      <c r="L328" s="318"/>
      <c r="M328" s="318"/>
      <c r="N328" s="318"/>
      <c r="O328" s="318"/>
      <c r="P328" s="318"/>
      <c r="Q328" s="318"/>
      <c r="R328" s="323" t="s">
        <v>250</v>
      </c>
      <c r="S328" s="323"/>
      <c r="T328" s="318"/>
    </row>
    <row r="329" spans="5:20" hidden="1" x14ac:dyDescent="0.35">
      <c r="E329" s="318"/>
      <c r="F329" s="318"/>
      <c r="G329" s="321">
        <v>44044</v>
      </c>
      <c r="H329" s="321"/>
      <c r="I329" s="321"/>
      <c r="J329" s="318"/>
      <c r="K329" s="318"/>
      <c r="L329" s="318"/>
      <c r="M329" s="318"/>
      <c r="N329" s="318"/>
      <c r="O329" s="318"/>
      <c r="P329" s="318"/>
      <c r="Q329" s="318"/>
      <c r="R329" s="323" t="s">
        <v>251</v>
      </c>
      <c r="S329" s="323"/>
      <c r="T329" s="318"/>
    </row>
    <row r="330" spans="5:20" hidden="1" x14ac:dyDescent="0.35">
      <c r="E330" s="318"/>
      <c r="F330" s="318"/>
      <c r="G330" s="321">
        <v>44045</v>
      </c>
      <c r="H330" s="321"/>
      <c r="I330" s="321"/>
      <c r="J330" s="318"/>
      <c r="K330" s="318"/>
      <c r="L330" s="318"/>
      <c r="M330" s="318"/>
      <c r="N330" s="318"/>
      <c r="O330" s="318"/>
      <c r="P330" s="318"/>
      <c r="Q330" s="318"/>
      <c r="R330" s="323" t="s">
        <v>252</v>
      </c>
      <c r="S330" s="323"/>
      <c r="T330" s="318"/>
    </row>
    <row r="331" spans="5:20" hidden="1" x14ac:dyDescent="0.35">
      <c r="E331" s="318"/>
      <c r="F331" s="318"/>
      <c r="G331" s="321">
        <v>44046</v>
      </c>
      <c r="H331" s="321"/>
      <c r="I331" s="321"/>
      <c r="J331" s="318"/>
      <c r="K331" s="318"/>
      <c r="L331" s="318"/>
      <c r="M331" s="318"/>
      <c r="N331" s="318"/>
      <c r="O331" s="318"/>
      <c r="P331" s="318"/>
      <c r="Q331" s="318"/>
      <c r="R331" s="323" t="s">
        <v>253</v>
      </c>
      <c r="S331" s="323"/>
      <c r="T331" s="318"/>
    </row>
    <row r="332" spans="5:20" hidden="1" x14ac:dyDescent="0.35">
      <c r="E332" s="318"/>
      <c r="F332" s="318"/>
      <c r="G332" s="321">
        <v>44047</v>
      </c>
      <c r="H332" s="321"/>
      <c r="I332" s="321"/>
      <c r="J332" s="318"/>
      <c r="K332" s="318"/>
      <c r="L332" s="318"/>
      <c r="M332" s="318"/>
      <c r="N332" s="318"/>
      <c r="O332" s="318"/>
      <c r="P332" s="318"/>
      <c r="Q332" s="318"/>
      <c r="R332" s="323" t="s">
        <v>254</v>
      </c>
      <c r="S332" s="323"/>
      <c r="T332" s="318"/>
    </row>
    <row r="333" spans="5:20" hidden="1" x14ac:dyDescent="0.35">
      <c r="E333" s="318"/>
      <c r="F333" s="318"/>
      <c r="G333" s="321">
        <v>44048</v>
      </c>
      <c r="H333" s="321"/>
      <c r="I333" s="321"/>
      <c r="J333" s="318"/>
      <c r="K333" s="318"/>
      <c r="L333" s="318"/>
      <c r="M333" s="318"/>
      <c r="N333" s="318"/>
      <c r="O333" s="318"/>
      <c r="P333" s="318"/>
      <c r="Q333" s="318"/>
      <c r="R333" s="323" t="s">
        <v>255</v>
      </c>
      <c r="S333" s="323"/>
      <c r="T333" s="318"/>
    </row>
    <row r="334" spans="5:20" hidden="1" x14ac:dyDescent="0.35">
      <c r="E334" s="318"/>
      <c r="F334" s="318"/>
      <c r="G334" s="321">
        <v>44049</v>
      </c>
      <c r="H334" s="321"/>
      <c r="I334" s="321"/>
      <c r="J334" s="318"/>
      <c r="K334" s="318"/>
      <c r="L334" s="318"/>
      <c r="M334" s="318"/>
      <c r="N334" s="318"/>
      <c r="O334" s="318"/>
      <c r="P334" s="318"/>
      <c r="Q334" s="318"/>
      <c r="R334" s="323" t="s">
        <v>256</v>
      </c>
      <c r="S334" s="323"/>
      <c r="T334" s="318"/>
    </row>
    <row r="335" spans="5:20" hidden="1" x14ac:dyDescent="0.35">
      <c r="E335" s="318"/>
      <c r="F335" s="318"/>
      <c r="G335" s="321">
        <v>44050</v>
      </c>
      <c r="H335" s="321"/>
      <c r="I335" s="321"/>
      <c r="J335" s="318"/>
      <c r="K335" s="318"/>
      <c r="L335" s="318"/>
      <c r="M335" s="318"/>
      <c r="N335" s="318"/>
      <c r="O335" s="318"/>
      <c r="P335" s="318"/>
      <c r="Q335" s="318"/>
      <c r="R335" s="323" t="s">
        <v>257</v>
      </c>
      <c r="S335" s="323"/>
      <c r="T335" s="318"/>
    </row>
    <row r="336" spans="5:20" hidden="1" x14ac:dyDescent="0.35">
      <c r="E336" s="318"/>
      <c r="F336" s="318"/>
      <c r="G336" s="321">
        <v>44051</v>
      </c>
      <c r="H336" s="321"/>
      <c r="I336" s="321"/>
      <c r="J336" s="318"/>
      <c r="K336" s="318"/>
      <c r="L336" s="318"/>
      <c r="M336" s="318"/>
      <c r="N336" s="318"/>
      <c r="O336" s="318"/>
      <c r="P336" s="318"/>
      <c r="Q336" s="318"/>
      <c r="R336" s="323" t="s">
        <v>258</v>
      </c>
      <c r="S336" s="323"/>
      <c r="T336" s="318"/>
    </row>
    <row r="337" spans="5:20" hidden="1" x14ac:dyDescent="0.35">
      <c r="E337" s="318"/>
      <c r="F337" s="318"/>
      <c r="G337" s="321">
        <v>44052</v>
      </c>
      <c r="H337" s="321"/>
      <c r="I337" s="321"/>
      <c r="J337" s="318"/>
      <c r="K337" s="318"/>
      <c r="L337" s="318"/>
      <c r="M337" s="318"/>
      <c r="N337" s="318"/>
      <c r="O337" s="318"/>
      <c r="P337" s="318"/>
      <c r="Q337" s="318"/>
      <c r="R337" s="323" t="s">
        <v>259</v>
      </c>
      <c r="S337" s="323"/>
      <c r="T337" s="318"/>
    </row>
    <row r="338" spans="5:20" hidden="1" x14ac:dyDescent="0.35">
      <c r="E338" s="318"/>
      <c r="F338" s="318"/>
      <c r="G338" s="321">
        <v>44053</v>
      </c>
      <c r="H338" s="321"/>
      <c r="I338" s="321"/>
      <c r="J338" s="318"/>
      <c r="K338" s="318"/>
      <c r="L338" s="318"/>
      <c r="M338" s="318"/>
      <c r="N338" s="318"/>
      <c r="O338" s="318"/>
      <c r="P338" s="318"/>
      <c r="Q338" s="318"/>
      <c r="R338" s="323" t="s">
        <v>260</v>
      </c>
      <c r="S338" s="323"/>
      <c r="T338" s="318"/>
    </row>
    <row r="339" spans="5:20" hidden="1" x14ac:dyDescent="0.35">
      <c r="E339" s="318"/>
      <c r="F339" s="318"/>
      <c r="G339" s="321">
        <v>44054</v>
      </c>
      <c r="H339" s="321"/>
      <c r="I339" s="321"/>
      <c r="J339" s="318"/>
      <c r="K339" s="318"/>
      <c r="L339" s="318"/>
      <c r="M339" s="318"/>
      <c r="N339" s="318"/>
      <c r="O339" s="318"/>
      <c r="P339" s="318"/>
      <c r="Q339" s="318"/>
      <c r="R339" s="323" t="s">
        <v>261</v>
      </c>
      <c r="S339" s="323"/>
      <c r="T339" s="318"/>
    </row>
    <row r="340" spans="5:20" hidden="1" x14ac:dyDescent="0.35">
      <c r="E340" s="318"/>
      <c r="F340" s="318"/>
      <c r="G340" s="321">
        <v>44055</v>
      </c>
      <c r="H340" s="321"/>
      <c r="I340" s="321"/>
      <c r="J340" s="318"/>
      <c r="K340" s="318"/>
      <c r="L340" s="318"/>
      <c r="M340" s="318"/>
      <c r="N340" s="318"/>
      <c r="O340" s="318"/>
      <c r="P340" s="318"/>
      <c r="Q340" s="318"/>
      <c r="R340" s="323" t="s">
        <v>262</v>
      </c>
      <c r="S340" s="323"/>
      <c r="T340" s="318"/>
    </row>
    <row r="341" spans="5:20" hidden="1" x14ac:dyDescent="0.35">
      <c r="E341" s="318"/>
      <c r="F341" s="318"/>
      <c r="G341" s="321">
        <v>44056</v>
      </c>
      <c r="H341" s="321"/>
      <c r="I341" s="321"/>
      <c r="J341" s="318"/>
      <c r="K341" s="318"/>
      <c r="L341" s="318"/>
      <c r="M341" s="318"/>
      <c r="N341" s="318"/>
      <c r="O341" s="318"/>
      <c r="P341" s="318"/>
      <c r="Q341" s="318"/>
      <c r="R341" s="323" t="s">
        <v>263</v>
      </c>
      <c r="S341" s="323"/>
      <c r="T341" s="318"/>
    </row>
    <row r="342" spans="5:20" hidden="1" x14ac:dyDescent="0.35">
      <c r="E342" s="318"/>
      <c r="F342" s="318"/>
      <c r="G342" s="321">
        <v>44057</v>
      </c>
      <c r="H342" s="321"/>
      <c r="I342" s="321"/>
      <c r="J342" s="318"/>
      <c r="K342" s="318"/>
      <c r="L342" s="318"/>
      <c r="M342" s="318"/>
      <c r="N342" s="318"/>
      <c r="O342" s="318"/>
      <c r="P342" s="318"/>
      <c r="Q342" s="318"/>
      <c r="R342" s="323" t="s">
        <v>264</v>
      </c>
      <c r="S342" s="323"/>
      <c r="T342" s="318"/>
    </row>
    <row r="343" spans="5:20" hidden="1" x14ac:dyDescent="0.35">
      <c r="E343" s="318"/>
      <c r="F343" s="318"/>
      <c r="G343" s="321">
        <v>44058</v>
      </c>
      <c r="H343" s="321"/>
      <c r="I343" s="321"/>
      <c r="J343" s="318"/>
      <c r="K343" s="318"/>
      <c r="L343" s="318"/>
      <c r="M343" s="318"/>
      <c r="N343" s="318"/>
      <c r="O343" s="318"/>
      <c r="P343" s="318"/>
      <c r="Q343" s="318"/>
      <c r="R343" s="323" t="s">
        <v>265</v>
      </c>
      <c r="S343" s="323"/>
      <c r="T343" s="318"/>
    </row>
    <row r="344" spans="5:20" hidden="1" x14ac:dyDescent="0.35">
      <c r="E344" s="318"/>
      <c r="F344" s="318"/>
      <c r="G344" s="321">
        <v>44059</v>
      </c>
      <c r="H344" s="321"/>
      <c r="I344" s="321"/>
      <c r="J344" s="318"/>
      <c r="K344" s="318"/>
      <c r="L344" s="318"/>
      <c r="M344" s="318"/>
      <c r="N344" s="318"/>
      <c r="O344" s="318"/>
      <c r="P344" s="318"/>
      <c r="Q344" s="318"/>
      <c r="R344" s="323" t="s">
        <v>266</v>
      </c>
      <c r="S344" s="323"/>
      <c r="T344" s="318"/>
    </row>
    <row r="345" spans="5:20" hidden="1" x14ac:dyDescent="0.35">
      <c r="E345" s="318"/>
      <c r="F345" s="318"/>
      <c r="G345" s="321">
        <v>44060</v>
      </c>
      <c r="H345" s="321"/>
      <c r="I345" s="321"/>
      <c r="J345" s="318"/>
      <c r="K345" s="318"/>
      <c r="L345" s="318"/>
      <c r="M345" s="318"/>
      <c r="N345" s="318"/>
      <c r="O345" s="318"/>
      <c r="P345" s="318"/>
      <c r="Q345" s="318"/>
      <c r="R345" s="323" t="s">
        <v>267</v>
      </c>
      <c r="S345" s="323"/>
      <c r="T345" s="318"/>
    </row>
    <row r="346" spans="5:20" hidden="1" x14ac:dyDescent="0.35">
      <c r="E346" s="318"/>
      <c r="F346" s="318"/>
      <c r="G346" s="321">
        <v>44061</v>
      </c>
      <c r="H346" s="321"/>
      <c r="I346" s="321"/>
      <c r="J346" s="318"/>
      <c r="K346" s="318"/>
      <c r="L346" s="318"/>
      <c r="M346" s="318"/>
      <c r="N346" s="318"/>
      <c r="O346" s="318"/>
      <c r="P346" s="318"/>
      <c r="Q346" s="318"/>
      <c r="R346" s="323" t="s">
        <v>268</v>
      </c>
      <c r="S346" s="323"/>
      <c r="T346" s="318"/>
    </row>
    <row r="347" spans="5:20" hidden="1" x14ac:dyDescent="0.35">
      <c r="E347" s="318"/>
      <c r="F347" s="318"/>
      <c r="G347" s="321">
        <v>44062</v>
      </c>
      <c r="H347" s="321"/>
      <c r="I347" s="321"/>
      <c r="J347" s="318"/>
      <c r="K347" s="318"/>
      <c r="L347" s="318"/>
      <c r="M347" s="318"/>
      <c r="N347" s="318"/>
      <c r="O347" s="318"/>
      <c r="P347" s="318"/>
      <c r="Q347" s="318"/>
      <c r="R347" s="323" t="s">
        <v>269</v>
      </c>
      <c r="S347" s="323"/>
      <c r="T347" s="318"/>
    </row>
    <row r="348" spans="5:20" hidden="1" x14ac:dyDescent="0.35">
      <c r="E348" s="318"/>
      <c r="F348" s="318"/>
      <c r="G348" s="321">
        <v>44063</v>
      </c>
      <c r="H348" s="321"/>
      <c r="I348" s="321"/>
      <c r="J348" s="318"/>
      <c r="K348" s="318"/>
      <c r="L348" s="318"/>
      <c r="M348" s="318"/>
      <c r="N348" s="318"/>
      <c r="O348" s="318"/>
      <c r="P348" s="318"/>
      <c r="Q348" s="318"/>
      <c r="R348" s="323" t="s">
        <v>270</v>
      </c>
      <c r="S348" s="323"/>
      <c r="T348" s="318"/>
    </row>
    <row r="349" spans="5:20" hidden="1" x14ac:dyDescent="0.35">
      <c r="E349" s="318"/>
      <c r="F349" s="318"/>
      <c r="G349" s="321">
        <v>44064</v>
      </c>
      <c r="H349" s="321"/>
      <c r="I349" s="321"/>
      <c r="J349" s="318"/>
      <c r="K349" s="318"/>
      <c r="L349" s="318"/>
      <c r="M349" s="318"/>
      <c r="N349" s="318"/>
      <c r="O349" s="318"/>
      <c r="P349" s="318"/>
      <c r="Q349" s="318"/>
      <c r="R349" s="323" t="s">
        <v>271</v>
      </c>
      <c r="S349" s="323"/>
      <c r="T349" s="318"/>
    </row>
    <row r="350" spans="5:20" hidden="1" x14ac:dyDescent="0.35">
      <c r="E350" s="318"/>
      <c r="F350" s="318"/>
      <c r="G350" s="321">
        <v>44065</v>
      </c>
      <c r="H350" s="321"/>
      <c r="I350" s="321"/>
      <c r="J350" s="318"/>
      <c r="K350" s="318"/>
      <c r="L350" s="318"/>
      <c r="M350" s="318"/>
      <c r="N350" s="318"/>
      <c r="O350" s="318"/>
      <c r="P350" s="318"/>
      <c r="Q350" s="318"/>
      <c r="R350" s="323" t="s">
        <v>272</v>
      </c>
      <c r="S350" s="323"/>
      <c r="T350" s="318"/>
    </row>
    <row r="351" spans="5:20" hidden="1" x14ac:dyDescent="0.35">
      <c r="E351" s="318"/>
      <c r="F351" s="318"/>
      <c r="G351" s="321">
        <v>44066</v>
      </c>
      <c r="H351" s="321"/>
      <c r="I351" s="321"/>
      <c r="J351" s="318"/>
      <c r="K351" s="318"/>
      <c r="L351" s="318"/>
      <c r="M351" s="318"/>
      <c r="N351" s="318"/>
      <c r="O351" s="318"/>
      <c r="P351" s="318"/>
      <c r="Q351" s="318"/>
      <c r="R351" s="323" t="s">
        <v>273</v>
      </c>
      <c r="S351" s="323"/>
      <c r="T351" s="318"/>
    </row>
    <row r="352" spans="5:20" hidden="1" x14ac:dyDescent="0.35">
      <c r="E352" s="318"/>
      <c r="F352" s="318"/>
      <c r="G352" s="321">
        <v>44067</v>
      </c>
      <c r="H352" s="321"/>
      <c r="I352" s="321"/>
      <c r="J352" s="318"/>
      <c r="K352" s="318"/>
      <c r="L352" s="318"/>
      <c r="M352" s="318"/>
      <c r="N352" s="318"/>
      <c r="O352" s="318"/>
      <c r="P352" s="318"/>
      <c r="Q352" s="318"/>
      <c r="R352" s="323" t="s">
        <v>274</v>
      </c>
      <c r="S352" s="323"/>
      <c r="T352" s="318"/>
    </row>
    <row r="353" spans="5:20" hidden="1" x14ac:dyDescent="0.35">
      <c r="E353" s="318"/>
      <c r="F353" s="318"/>
      <c r="G353" s="321">
        <v>44068</v>
      </c>
      <c r="H353" s="321"/>
      <c r="I353" s="321"/>
      <c r="J353" s="318"/>
      <c r="K353" s="318"/>
      <c r="L353" s="318"/>
      <c r="M353" s="318"/>
      <c r="N353" s="318"/>
      <c r="O353" s="318"/>
      <c r="P353" s="318"/>
      <c r="Q353" s="318"/>
      <c r="R353" s="323" t="s">
        <v>275</v>
      </c>
      <c r="S353" s="323"/>
      <c r="T353" s="318"/>
    </row>
    <row r="354" spans="5:20" hidden="1" x14ac:dyDescent="0.35">
      <c r="E354" s="318"/>
      <c r="F354" s="318"/>
      <c r="G354" s="321">
        <v>44069</v>
      </c>
      <c r="H354" s="321"/>
      <c r="I354" s="321"/>
      <c r="J354" s="318"/>
      <c r="K354" s="318"/>
      <c r="L354" s="318"/>
      <c r="M354" s="318"/>
      <c r="N354" s="318"/>
      <c r="O354" s="318"/>
      <c r="P354" s="318"/>
      <c r="Q354" s="318"/>
      <c r="R354" s="323" t="s">
        <v>276</v>
      </c>
      <c r="S354" s="323"/>
      <c r="T354" s="318"/>
    </row>
    <row r="355" spans="5:20" hidden="1" x14ac:dyDescent="0.35">
      <c r="E355" s="318"/>
      <c r="F355" s="318"/>
      <c r="G355" s="321">
        <v>44070</v>
      </c>
      <c r="H355" s="321"/>
      <c r="I355" s="321"/>
      <c r="J355" s="318"/>
      <c r="K355" s="318"/>
      <c r="L355" s="318"/>
      <c r="M355" s="318"/>
      <c r="N355" s="318"/>
      <c r="O355" s="318"/>
      <c r="P355" s="318"/>
      <c r="Q355" s="318"/>
      <c r="R355" s="323" t="s">
        <v>277</v>
      </c>
      <c r="S355" s="323"/>
      <c r="T355" s="318"/>
    </row>
    <row r="356" spans="5:20" hidden="1" x14ac:dyDescent="0.35">
      <c r="E356" s="318"/>
      <c r="F356" s="318"/>
      <c r="G356" s="321">
        <v>44071</v>
      </c>
      <c r="H356" s="321"/>
      <c r="I356" s="321"/>
      <c r="J356" s="318"/>
      <c r="K356" s="318"/>
      <c r="L356" s="318"/>
      <c r="M356" s="318"/>
      <c r="N356" s="318"/>
      <c r="O356" s="318"/>
      <c r="P356" s="318"/>
      <c r="Q356" s="318"/>
      <c r="R356" s="323" t="s">
        <v>278</v>
      </c>
      <c r="S356" s="323"/>
      <c r="T356" s="318"/>
    </row>
    <row r="357" spans="5:20" hidden="1" x14ac:dyDescent="0.35">
      <c r="E357" s="318"/>
      <c r="F357" s="318"/>
      <c r="G357" s="321">
        <v>44072</v>
      </c>
      <c r="H357" s="321"/>
      <c r="I357" s="321"/>
      <c r="J357" s="318"/>
      <c r="K357" s="318"/>
      <c r="L357" s="318"/>
      <c r="M357" s="318"/>
      <c r="N357" s="318"/>
      <c r="O357" s="318"/>
      <c r="P357" s="318"/>
      <c r="Q357" s="318"/>
      <c r="R357" s="323" t="s">
        <v>279</v>
      </c>
      <c r="S357" s="323"/>
      <c r="T357" s="318"/>
    </row>
    <row r="358" spans="5:20" hidden="1" x14ac:dyDescent="0.35">
      <c r="E358" s="318"/>
      <c r="F358" s="318"/>
      <c r="G358" s="321">
        <v>44073</v>
      </c>
      <c r="H358" s="321"/>
      <c r="I358" s="321"/>
      <c r="J358" s="318"/>
      <c r="K358" s="318"/>
      <c r="L358" s="318"/>
      <c r="M358" s="318"/>
      <c r="N358" s="318"/>
      <c r="O358" s="318"/>
      <c r="P358" s="318"/>
      <c r="Q358" s="318"/>
      <c r="R358" s="323" t="s">
        <v>280</v>
      </c>
      <c r="S358" s="323"/>
      <c r="T358" s="318"/>
    </row>
    <row r="359" spans="5:20" hidden="1" x14ac:dyDescent="0.35">
      <c r="E359" s="318"/>
      <c r="F359" s="318"/>
      <c r="G359" s="321">
        <v>44074</v>
      </c>
      <c r="H359" s="321"/>
      <c r="I359" s="321"/>
      <c r="J359" s="318"/>
      <c r="K359" s="318"/>
      <c r="L359" s="318"/>
      <c r="M359" s="318"/>
      <c r="N359" s="318"/>
      <c r="O359" s="318"/>
      <c r="P359" s="318"/>
      <c r="Q359" s="318"/>
      <c r="R359" s="323" t="s">
        <v>281</v>
      </c>
      <c r="S359" s="323"/>
      <c r="T359" s="318"/>
    </row>
    <row r="360" spans="5:20" hidden="1" x14ac:dyDescent="0.35">
      <c r="E360" s="318"/>
      <c r="F360" s="318"/>
      <c r="G360" s="321">
        <v>44075</v>
      </c>
      <c r="H360" s="321"/>
      <c r="I360" s="321"/>
      <c r="J360" s="318"/>
      <c r="K360" s="318"/>
      <c r="L360" s="318"/>
      <c r="M360" s="318"/>
      <c r="N360" s="318"/>
      <c r="O360" s="318"/>
      <c r="P360" s="318"/>
      <c r="Q360" s="318"/>
      <c r="R360" s="323" t="s">
        <v>282</v>
      </c>
      <c r="S360" s="323"/>
      <c r="T360" s="318"/>
    </row>
    <row r="361" spans="5:20" hidden="1" x14ac:dyDescent="0.35">
      <c r="E361" s="318"/>
      <c r="F361" s="318"/>
      <c r="G361" s="321">
        <v>44076</v>
      </c>
      <c r="H361" s="321"/>
      <c r="I361" s="321"/>
      <c r="J361" s="318"/>
      <c r="K361" s="318"/>
      <c r="L361" s="318"/>
      <c r="M361" s="318"/>
      <c r="N361" s="318"/>
      <c r="O361" s="318"/>
      <c r="P361" s="318"/>
      <c r="Q361" s="318"/>
      <c r="R361" s="323" t="s">
        <v>283</v>
      </c>
      <c r="S361" s="323"/>
      <c r="T361" s="318"/>
    </row>
    <row r="362" spans="5:20" hidden="1" x14ac:dyDescent="0.35">
      <c r="E362" s="318"/>
      <c r="F362" s="318"/>
      <c r="G362" s="321">
        <v>44077</v>
      </c>
      <c r="H362" s="321"/>
      <c r="I362" s="321"/>
      <c r="J362" s="318"/>
      <c r="K362" s="318"/>
      <c r="L362" s="318"/>
      <c r="M362" s="318"/>
      <c r="N362" s="318"/>
      <c r="O362" s="318"/>
      <c r="P362" s="318"/>
      <c r="Q362" s="318"/>
      <c r="R362" s="323" t="s">
        <v>284</v>
      </c>
      <c r="S362" s="323"/>
      <c r="T362" s="318"/>
    </row>
    <row r="363" spans="5:20" hidden="1" x14ac:dyDescent="0.35">
      <c r="E363" s="318"/>
      <c r="F363" s="318"/>
      <c r="G363" s="321">
        <v>44078</v>
      </c>
      <c r="H363" s="321"/>
      <c r="I363" s="321"/>
      <c r="J363" s="318"/>
      <c r="K363" s="318"/>
      <c r="L363" s="318"/>
      <c r="M363" s="318"/>
      <c r="N363" s="318"/>
      <c r="O363" s="318"/>
      <c r="P363" s="318"/>
      <c r="Q363" s="318"/>
      <c r="R363" s="323" t="s">
        <v>285</v>
      </c>
      <c r="S363" s="323"/>
      <c r="T363" s="318"/>
    </row>
    <row r="364" spans="5:20" hidden="1" x14ac:dyDescent="0.35">
      <c r="E364" s="318"/>
      <c r="F364" s="318"/>
      <c r="G364" s="321">
        <v>44079</v>
      </c>
      <c r="H364" s="321"/>
      <c r="I364" s="321"/>
      <c r="J364" s="318"/>
      <c r="K364" s="318"/>
      <c r="L364" s="318"/>
      <c r="M364" s="318"/>
      <c r="N364" s="318"/>
      <c r="O364" s="318"/>
      <c r="P364" s="318"/>
      <c r="Q364" s="318"/>
      <c r="R364" s="323" t="s">
        <v>286</v>
      </c>
      <c r="S364" s="323"/>
      <c r="T364" s="318"/>
    </row>
    <row r="365" spans="5:20" hidden="1" x14ac:dyDescent="0.35">
      <c r="E365" s="318"/>
      <c r="F365" s="318"/>
      <c r="G365" s="321">
        <v>44080</v>
      </c>
      <c r="H365" s="321"/>
      <c r="I365" s="321"/>
      <c r="J365" s="318"/>
      <c r="K365" s="318"/>
      <c r="L365" s="318"/>
      <c r="M365" s="318"/>
      <c r="N365" s="318"/>
      <c r="O365" s="318"/>
      <c r="P365" s="318"/>
      <c r="Q365" s="318"/>
      <c r="R365" s="323" t="s">
        <v>287</v>
      </c>
      <c r="S365" s="323"/>
      <c r="T365" s="318"/>
    </row>
    <row r="366" spans="5:20" hidden="1" x14ac:dyDescent="0.35">
      <c r="E366" s="318"/>
      <c r="F366" s="318"/>
      <c r="G366" s="321">
        <v>44081</v>
      </c>
      <c r="H366" s="321"/>
      <c r="I366" s="321"/>
      <c r="J366" s="318"/>
      <c r="K366" s="318"/>
      <c r="L366" s="318"/>
      <c r="M366" s="318"/>
      <c r="N366" s="318"/>
      <c r="O366" s="318"/>
      <c r="P366" s="318"/>
      <c r="Q366" s="318"/>
      <c r="R366" s="323" t="s">
        <v>288</v>
      </c>
      <c r="S366" s="323"/>
      <c r="T366" s="318"/>
    </row>
    <row r="367" spans="5:20" hidden="1" x14ac:dyDescent="0.35">
      <c r="E367" s="318"/>
      <c r="F367" s="318"/>
      <c r="G367" s="321">
        <v>44082</v>
      </c>
      <c r="H367" s="321"/>
      <c r="I367" s="321"/>
      <c r="J367" s="318"/>
      <c r="K367" s="318"/>
      <c r="L367" s="318"/>
      <c r="M367" s="318"/>
      <c r="N367" s="318"/>
      <c r="O367" s="318"/>
      <c r="P367" s="318"/>
      <c r="Q367" s="318"/>
      <c r="R367" s="323" t="s">
        <v>289</v>
      </c>
      <c r="S367" s="323"/>
      <c r="T367" s="318"/>
    </row>
    <row r="368" spans="5:20" hidden="1" x14ac:dyDescent="0.35">
      <c r="E368" s="318"/>
      <c r="F368" s="318"/>
      <c r="G368" s="321">
        <v>44083</v>
      </c>
      <c r="H368" s="321"/>
      <c r="I368" s="321"/>
      <c r="J368" s="318"/>
      <c r="K368" s="318"/>
      <c r="L368" s="318"/>
      <c r="M368" s="318"/>
      <c r="N368" s="318"/>
      <c r="O368" s="318"/>
      <c r="P368" s="318"/>
      <c r="Q368" s="318"/>
      <c r="R368" s="323" t="s">
        <v>290</v>
      </c>
      <c r="S368" s="323"/>
      <c r="T368" s="318"/>
    </row>
    <row r="369" spans="5:20" hidden="1" x14ac:dyDescent="0.35">
      <c r="E369" s="318"/>
      <c r="F369" s="318"/>
      <c r="G369" s="321">
        <v>44084</v>
      </c>
      <c r="H369" s="321"/>
      <c r="I369" s="321"/>
      <c r="J369" s="318"/>
      <c r="K369" s="318"/>
      <c r="L369" s="318"/>
      <c r="M369" s="318"/>
      <c r="N369" s="318"/>
      <c r="O369" s="318"/>
      <c r="P369" s="318"/>
      <c r="Q369" s="318"/>
      <c r="R369" s="323" t="s">
        <v>291</v>
      </c>
      <c r="S369" s="323"/>
      <c r="T369" s="318"/>
    </row>
    <row r="370" spans="5:20" hidden="1" x14ac:dyDescent="0.35">
      <c r="E370" s="318"/>
      <c r="F370" s="318"/>
      <c r="G370" s="321">
        <v>44085</v>
      </c>
      <c r="H370" s="321"/>
      <c r="I370" s="321"/>
      <c r="J370" s="318"/>
      <c r="K370" s="318"/>
      <c r="L370" s="318"/>
      <c r="M370" s="318"/>
      <c r="N370" s="318"/>
      <c r="O370" s="318"/>
      <c r="P370" s="318"/>
      <c r="Q370" s="318"/>
      <c r="R370" s="323" t="s">
        <v>292</v>
      </c>
      <c r="S370" s="323"/>
      <c r="T370" s="318"/>
    </row>
    <row r="371" spans="5:20" hidden="1" x14ac:dyDescent="0.35">
      <c r="E371" s="318"/>
      <c r="F371" s="318"/>
      <c r="G371" s="321">
        <v>44086</v>
      </c>
      <c r="H371" s="321"/>
      <c r="I371" s="321"/>
      <c r="J371" s="318"/>
      <c r="K371" s="318"/>
      <c r="L371" s="318"/>
      <c r="M371" s="318"/>
      <c r="N371" s="318"/>
      <c r="O371" s="318"/>
      <c r="P371" s="318"/>
      <c r="Q371" s="318"/>
      <c r="R371" s="323" t="s">
        <v>293</v>
      </c>
      <c r="S371" s="323"/>
      <c r="T371" s="318"/>
    </row>
    <row r="372" spans="5:20" hidden="1" x14ac:dyDescent="0.35">
      <c r="E372" s="318"/>
      <c r="F372" s="318"/>
      <c r="G372" s="321">
        <v>44087</v>
      </c>
      <c r="H372" s="321"/>
      <c r="I372" s="321"/>
      <c r="J372" s="318"/>
      <c r="K372" s="318"/>
      <c r="L372" s="318"/>
      <c r="M372" s="318"/>
      <c r="N372" s="318"/>
      <c r="O372" s="318"/>
      <c r="P372" s="318"/>
      <c r="Q372" s="318"/>
      <c r="R372" s="323" t="s">
        <v>294</v>
      </c>
      <c r="S372" s="323"/>
      <c r="T372" s="318"/>
    </row>
    <row r="373" spans="5:20" hidden="1" x14ac:dyDescent="0.35">
      <c r="E373" s="318"/>
      <c r="F373" s="318"/>
      <c r="G373" s="321">
        <v>44088</v>
      </c>
      <c r="H373" s="321"/>
      <c r="I373" s="321"/>
      <c r="J373" s="318"/>
      <c r="K373" s="318"/>
      <c r="L373" s="318"/>
      <c r="M373" s="318"/>
      <c r="N373" s="318"/>
      <c r="O373" s="318"/>
      <c r="P373" s="318"/>
      <c r="Q373" s="318"/>
      <c r="R373" s="323" t="s">
        <v>295</v>
      </c>
      <c r="S373" s="323"/>
      <c r="T373" s="318"/>
    </row>
    <row r="374" spans="5:20" hidden="1" x14ac:dyDescent="0.35">
      <c r="E374" s="318"/>
      <c r="F374" s="318"/>
      <c r="G374" s="321">
        <v>44089</v>
      </c>
      <c r="H374" s="321"/>
      <c r="I374" s="321"/>
      <c r="J374" s="318"/>
      <c r="K374" s="318"/>
      <c r="L374" s="318"/>
      <c r="M374" s="318"/>
      <c r="N374" s="318"/>
      <c r="O374" s="318"/>
      <c r="P374" s="318"/>
      <c r="Q374" s="318"/>
      <c r="R374" s="323" t="s">
        <v>296</v>
      </c>
      <c r="S374" s="323"/>
      <c r="T374" s="318"/>
    </row>
    <row r="375" spans="5:20" hidden="1" x14ac:dyDescent="0.35">
      <c r="E375" s="318"/>
      <c r="F375" s="318"/>
      <c r="G375" s="321">
        <v>44090</v>
      </c>
      <c r="H375" s="321"/>
      <c r="I375" s="321"/>
      <c r="J375" s="318"/>
      <c r="K375" s="318"/>
      <c r="L375" s="318"/>
      <c r="M375" s="318"/>
      <c r="N375" s="318"/>
      <c r="O375" s="318"/>
      <c r="P375" s="318"/>
      <c r="Q375" s="318"/>
      <c r="R375" s="323" t="s">
        <v>297</v>
      </c>
      <c r="S375" s="323"/>
      <c r="T375" s="318"/>
    </row>
    <row r="376" spans="5:20" hidden="1" x14ac:dyDescent="0.35">
      <c r="E376" s="318"/>
      <c r="F376" s="318"/>
      <c r="G376" s="321">
        <v>44091</v>
      </c>
      <c r="H376" s="321"/>
      <c r="I376" s="321"/>
      <c r="J376" s="318"/>
      <c r="K376" s="318"/>
      <c r="L376" s="318"/>
      <c r="M376" s="318"/>
      <c r="N376" s="318"/>
      <c r="O376" s="318"/>
      <c r="P376" s="318"/>
      <c r="Q376" s="318"/>
      <c r="R376" s="323" t="s">
        <v>298</v>
      </c>
      <c r="S376" s="323"/>
      <c r="T376" s="318"/>
    </row>
    <row r="377" spans="5:20" hidden="1" x14ac:dyDescent="0.35">
      <c r="E377" s="318"/>
      <c r="F377" s="318"/>
      <c r="G377" s="321">
        <v>44092</v>
      </c>
      <c r="H377" s="321"/>
      <c r="I377" s="321"/>
      <c r="J377" s="318"/>
      <c r="K377" s="318"/>
      <c r="L377" s="318"/>
      <c r="M377" s="318"/>
      <c r="N377" s="318"/>
      <c r="O377" s="318"/>
      <c r="P377" s="318"/>
      <c r="Q377" s="318"/>
      <c r="R377" s="323" t="s">
        <v>299</v>
      </c>
      <c r="S377" s="323"/>
      <c r="T377" s="318"/>
    </row>
    <row r="378" spans="5:20" hidden="1" x14ac:dyDescent="0.35">
      <c r="E378" s="318"/>
      <c r="F378" s="318"/>
      <c r="G378" s="321">
        <v>44093</v>
      </c>
      <c r="H378" s="321"/>
      <c r="I378" s="321"/>
      <c r="J378" s="318"/>
      <c r="K378" s="318"/>
      <c r="L378" s="318"/>
      <c r="M378" s="318"/>
      <c r="N378" s="318"/>
      <c r="O378" s="318"/>
      <c r="P378" s="318"/>
      <c r="Q378" s="318"/>
      <c r="R378" s="323" t="s">
        <v>300</v>
      </c>
      <c r="S378" s="323"/>
      <c r="T378" s="318"/>
    </row>
    <row r="379" spans="5:20" hidden="1" x14ac:dyDescent="0.35">
      <c r="E379" s="318"/>
      <c r="F379" s="318"/>
      <c r="G379" s="321">
        <v>44094</v>
      </c>
      <c r="H379" s="321"/>
      <c r="I379" s="321"/>
      <c r="J379" s="318"/>
      <c r="K379" s="318"/>
      <c r="L379" s="318"/>
      <c r="M379" s="318"/>
      <c r="N379" s="318"/>
      <c r="O379" s="318"/>
      <c r="P379" s="318"/>
      <c r="Q379" s="318"/>
      <c r="R379" s="323" t="s">
        <v>301</v>
      </c>
      <c r="S379" s="323"/>
      <c r="T379" s="318"/>
    </row>
    <row r="380" spans="5:20" hidden="1" x14ac:dyDescent="0.35">
      <c r="E380" s="318"/>
      <c r="F380" s="318"/>
      <c r="G380" s="321">
        <v>44095</v>
      </c>
      <c r="H380" s="321"/>
      <c r="I380" s="321"/>
      <c r="J380" s="318"/>
      <c r="K380" s="318"/>
      <c r="L380" s="318"/>
      <c r="M380" s="318"/>
      <c r="N380" s="318"/>
      <c r="O380" s="318"/>
      <c r="P380" s="318"/>
      <c r="Q380" s="318"/>
      <c r="R380" s="323" t="s">
        <v>302</v>
      </c>
      <c r="S380" s="323"/>
      <c r="T380" s="318"/>
    </row>
    <row r="381" spans="5:20" hidden="1" x14ac:dyDescent="0.35">
      <c r="E381" s="318"/>
      <c r="F381" s="318"/>
      <c r="G381" s="321">
        <v>44096</v>
      </c>
      <c r="H381" s="321"/>
      <c r="I381" s="321"/>
      <c r="J381" s="318"/>
      <c r="K381" s="318"/>
      <c r="L381" s="318"/>
      <c r="M381" s="318"/>
      <c r="N381" s="318"/>
      <c r="O381" s="318"/>
      <c r="P381" s="318"/>
      <c r="Q381" s="318"/>
      <c r="R381" s="323" t="s">
        <v>303</v>
      </c>
      <c r="S381" s="323"/>
      <c r="T381" s="318"/>
    </row>
    <row r="382" spans="5:20" hidden="1" x14ac:dyDescent="0.35">
      <c r="E382" s="318"/>
      <c r="F382" s="318"/>
      <c r="G382" s="321">
        <v>44097</v>
      </c>
      <c r="H382" s="321"/>
      <c r="I382" s="321"/>
      <c r="J382" s="318"/>
      <c r="K382" s="318"/>
      <c r="L382" s="318"/>
      <c r="M382" s="318"/>
      <c r="N382" s="318"/>
      <c r="O382" s="318"/>
      <c r="P382" s="318"/>
      <c r="Q382" s="318"/>
      <c r="R382" s="323" t="s">
        <v>304</v>
      </c>
      <c r="S382" s="323"/>
      <c r="T382" s="318"/>
    </row>
    <row r="383" spans="5:20" hidden="1" x14ac:dyDescent="0.35">
      <c r="E383" s="318"/>
      <c r="F383" s="318"/>
      <c r="G383" s="321">
        <v>44098</v>
      </c>
      <c r="H383" s="321"/>
      <c r="I383" s="321"/>
      <c r="J383" s="318"/>
      <c r="K383" s="318"/>
      <c r="L383" s="318"/>
      <c r="M383" s="318"/>
      <c r="N383" s="318"/>
      <c r="O383" s="318"/>
      <c r="P383" s="318"/>
      <c r="Q383" s="318"/>
      <c r="R383" s="323" t="s">
        <v>305</v>
      </c>
      <c r="S383" s="323"/>
      <c r="T383" s="318"/>
    </row>
    <row r="384" spans="5:20" hidden="1" x14ac:dyDescent="0.35">
      <c r="E384" s="318"/>
      <c r="F384" s="318"/>
      <c r="G384" s="321">
        <v>44099</v>
      </c>
      <c r="H384" s="321"/>
      <c r="I384" s="321"/>
      <c r="J384" s="318"/>
      <c r="K384" s="318"/>
      <c r="L384" s="318"/>
      <c r="M384" s="318"/>
      <c r="N384" s="318"/>
      <c r="O384" s="318"/>
      <c r="P384" s="318"/>
      <c r="Q384" s="318"/>
      <c r="R384" s="323" t="s">
        <v>306</v>
      </c>
      <c r="S384" s="323"/>
      <c r="T384" s="318"/>
    </row>
    <row r="385" spans="5:20" hidden="1" x14ac:dyDescent="0.35">
      <c r="E385" s="318"/>
      <c r="F385" s="318"/>
      <c r="G385" s="321">
        <v>44100</v>
      </c>
      <c r="H385" s="321"/>
      <c r="I385" s="321"/>
      <c r="J385" s="318"/>
      <c r="K385" s="318"/>
      <c r="L385" s="318"/>
      <c r="M385" s="318"/>
      <c r="N385" s="318"/>
      <c r="O385" s="318"/>
      <c r="P385" s="318"/>
      <c r="Q385" s="318"/>
      <c r="R385" s="323" t="s">
        <v>307</v>
      </c>
      <c r="S385" s="323"/>
      <c r="T385" s="318"/>
    </row>
    <row r="386" spans="5:20" hidden="1" x14ac:dyDescent="0.35">
      <c r="E386" s="318"/>
      <c r="F386" s="318"/>
      <c r="G386" s="321">
        <v>44101</v>
      </c>
      <c r="H386" s="321"/>
      <c r="I386" s="321"/>
      <c r="J386" s="318"/>
      <c r="K386" s="318"/>
      <c r="L386" s="318"/>
      <c r="M386" s="318"/>
      <c r="N386" s="318"/>
      <c r="O386" s="318"/>
      <c r="P386" s="318"/>
      <c r="Q386" s="318"/>
      <c r="R386" s="323" t="s">
        <v>308</v>
      </c>
      <c r="S386" s="323"/>
      <c r="T386" s="318"/>
    </row>
    <row r="387" spans="5:20" hidden="1" x14ac:dyDescent="0.35">
      <c r="E387" s="318"/>
      <c r="F387" s="318"/>
      <c r="G387" s="321">
        <v>44102</v>
      </c>
      <c r="H387" s="321"/>
      <c r="I387" s="321"/>
      <c r="J387" s="318"/>
      <c r="K387" s="318"/>
      <c r="L387" s="318"/>
      <c r="M387" s="318"/>
      <c r="N387" s="318"/>
      <c r="O387" s="318"/>
      <c r="P387" s="318"/>
      <c r="Q387" s="318"/>
      <c r="R387" s="323" t="s">
        <v>309</v>
      </c>
      <c r="S387" s="323"/>
      <c r="T387" s="318"/>
    </row>
    <row r="388" spans="5:20" hidden="1" x14ac:dyDescent="0.35">
      <c r="E388" s="318"/>
      <c r="F388" s="318"/>
      <c r="G388" s="321">
        <v>44103</v>
      </c>
      <c r="H388" s="321"/>
      <c r="I388" s="321"/>
      <c r="J388" s="318"/>
      <c r="K388" s="318"/>
      <c r="L388" s="318"/>
      <c r="M388" s="318"/>
      <c r="N388" s="318"/>
      <c r="O388" s="318"/>
      <c r="P388" s="318"/>
      <c r="Q388" s="318"/>
      <c r="R388" s="323" t="s">
        <v>310</v>
      </c>
      <c r="S388" s="323"/>
      <c r="T388" s="318"/>
    </row>
    <row r="389" spans="5:20" hidden="1" x14ac:dyDescent="0.35">
      <c r="E389" s="318"/>
      <c r="F389" s="318"/>
      <c r="G389" s="321">
        <v>44104</v>
      </c>
      <c r="H389" s="321"/>
      <c r="I389" s="321"/>
      <c r="J389" s="318"/>
      <c r="K389" s="318"/>
      <c r="L389" s="318"/>
      <c r="M389" s="318"/>
      <c r="N389" s="318"/>
      <c r="O389" s="318"/>
      <c r="P389" s="318"/>
      <c r="Q389" s="318"/>
      <c r="R389" s="323" t="s">
        <v>311</v>
      </c>
      <c r="S389" s="323"/>
      <c r="T389" s="318"/>
    </row>
    <row r="390" spans="5:20" hidden="1" x14ac:dyDescent="0.35">
      <c r="E390" s="318"/>
      <c r="F390" s="318"/>
      <c r="G390" s="321">
        <v>44105</v>
      </c>
      <c r="H390" s="321"/>
      <c r="I390" s="321"/>
      <c r="J390" s="318"/>
      <c r="K390" s="318"/>
      <c r="L390" s="318"/>
      <c r="M390" s="318"/>
      <c r="N390" s="318"/>
      <c r="O390" s="318"/>
      <c r="P390" s="318"/>
      <c r="Q390" s="318"/>
      <c r="R390" s="323" t="s">
        <v>312</v>
      </c>
      <c r="S390" s="323"/>
      <c r="T390" s="318"/>
    </row>
    <row r="391" spans="5:20" hidden="1" x14ac:dyDescent="0.35">
      <c r="E391" s="318"/>
      <c r="F391" s="318"/>
      <c r="G391" s="321">
        <v>44106</v>
      </c>
      <c r="H391" s="321"/>
      <c r="I391" s="321"/>
      <c r="J391" s="318"/>
      <c r="K391" s="318"/>
      <c r="L391" s="318"/>
      <c r="M391" s="318"/>
      <c r="N391" s="318"/>
      <c r="O391" s="318"/>
      <c r="P391" s="318"/>
      <c r="Q391" s="318"/>
      <c r="R391" s="323" t="s">
        <v>313</v>
      </c>
      <c r="S391" s="323"/>
      <c r="T391" s="318"/>
    </row>
    <row r="392" spans="5:20" hidden="1" x14ac:dyDescent="0.35">
      <c r="E392" s="318"/>
      <c r="F392" s="318"/>
      <c r="G392" s="321">
        <v>44107</v>
      </c>
      <c r="H392" s="321"/>
      <c r="I392" s="321"/>
      <c r="J392" s="318"/>
      <c r="K392" s="318"/>
      <c r="L392" s="318"/>
      <c r="M392" s="318"/>
      <c r="N392" s="318"/>
      <c r="O392" s="318"/>
      <c r="P392" s="318"/>
      <c r="Q392" s="318"/>
      <c r="R392" s="323" t="s">
        <v>314</v>
      </c>
      <c r="S392" s="323"/>
      <c r="T392" s="318"/>
    </row>
    <row r="393" spans="5:20" hidden="1" x14ac:dyDescent="0.35">
      <c r="E393" s="318"/>
      <c r="F393" s="318"/>
      <c r="G393" s="321">
        <v>44108</v>
      </c>
      <c r="H393" s="321"/>
      <c r="I393" s="321"/>
      <c r="J393" s="318"/>
      <c r="K393" s="318"/>
      <c r="L393" s="318"/>
      <c r="M393" s="318"/>
      <c r="N393" s="318"/>
      <c r="O393" s="318"/>
      <c r="P393" s="318"/>
      <c r="Q393" s="318"/>
      <c r="R393" s="323" t="s">
        <v>315</v>
      </c>
      <c r="S393" s="323"/>
      <c r="T393" s="318"/>
    </row>
    <row r="394" spans="5:20" hidden="1" x14ac:dyDescent="0.35">
      <c r="E394" s="318"/>
      <c r="F394" s="318"/>
      <c r="G394" s="321">
        <v>44109</v>
      </c>
      <c r="H394" s="321"/>
      <c r="I394" s="321"/>
      <c r="J394" s="318"/>
      <c r="K394" s="318"/>
      <c r="L394" s="318"/>
      <c r="M394" s="318"/>
      <c r="N394" s="318"/>
      <c r="O394" s="318"/>
      <c r="P394" s="318"/>
      <c r="Q394" s="318"/>
      <c r="R394" s="323" t="s">
        <v>316</v>
      </c>
      <c r="S394" s="323"/>
      <c r="T394" s="318"/>
    </row>
    <row r="395" spans="5:20" hidden="1" x14ac:dyDescent="0.35">
      <c r="E395" s="318"/>
      <c r="F395" s="318"/>
      <c r="G395" s="321">
        <v>44110</v>
      </c>
      <c r="H395" s="321"/>
      <c r="I395" s="321"/>
      <c r="J395" s="318"/>
      <c r="K395" s="318"/>
      <c r="L395" s="318"/>
      <c r="M395" s="318"/>
      <c r="N395" s="318"/>
      <c r="O395" s="318"/>
      <c r="P395" s="318"/>
      <c r="Q395" s="318"/>
      <c r="R395" s="323" t="s">
        <v>317</v>
      </c>
      <c r="S395" s="323"/>
      <c r="T395" s="318"/>
    </row>
    <row r="396" spans="5:20" hidden="1" x14ac:dyDescent="0.35">
      <c r="E396" s="318"/>
      <c r="F396" s="318"/>
      <c r="G396" s="321">
        <v>44111</v>
      </c>
      <c r="H396" s="321"/>
      <c r="I396" s="321"/>
      <c r="J396" s="318"/>
      <c r="K396" s="318"/>
      <c r="L396" s="318"/>
      <c r="M396" s="318"/>
      <c r="N396" s="318"/>
      <c r="O396" s="318"/>
      <c r="P396" s="318"/>
      <c r="Q396" s="318"/>
      <c r="R396" s="323" t="s">
        <v>318</v>
      </c>
      <c r="S396" s="323"/>
      <c r="T396" s="318"/>
    </row>
    <row r="397" spans="5:20" hidden="1" x14ac:dyDescent="0.35">
      <c r="E397" s="318"/>
      <c r="F397" s="318"/>
      <c r="G397" s="321">
        <v>44112</v>
      </c>
      <c r="H397" s="321"/>
      <c r="I397" s="321"/>
      <c r="J397" s="318"/>
      <c r="K397" s="318"/>
      <c r="L397" s="318"/>
      <c r="M397" s="318"/>
      <c r="N397" s="318"/>
      <c r="O397" s="318"/>
      <c r="P397" s="318"/>
      <c r="Q397" s="318"/>
      <c r="R397" s="323" t="s">
        <v>319</v>
      </c>
      <c r="S397" s="323"/>
      <c r="T397" s="318"/>
    </row>
    <row r="398" spans="5:20" hidden="1" x14ac:dyDescent="0.35">
      <c r="E398" s="318"/>
      <c r="F398" s="318"/>
      <c r="G398" s="321">
        <v>44113</v>
      </c>
      <c r="H398" s="321"/>
      <c r="I398" s="321"/>
      <c r="J398" s="318"/>
      <c r="K398" s="318"/>
      <c r="L398" s="318"/>
      <c r="M398" s="318"/>
      <c r="N398" s="318"/>
      <c r="O398" s="318"/>
      <c r="P398" s="318"/>
      <c r="Q398" s="318"/>
      <c r="R398" s="323" t="s">
        <v>320</v>
      </c>
      <c r="S398" s="323"/>
      <c r="T398" s="318"/>
    </row>
    <row r="399" spans="5:20" hidden="1" x14ac:dyDescent="0.35">
      <c r="E399" s="318"/>
      <c r="F399" s="318"/>
      <c r="G399" s="321">
        <v>44114</v>
      </c>
      <c r="H399" s="321"/>
      <c r="I399" s="321"/>
      <c r="J399" s="318"/>
      <c r="K399" s="318"/>
      <c r="L399" s="318"/>
      <c r="M399" s="318"/>
      <c r="N399" s="318"/>
      <c r="O399" s="318"/>
      <c r="P399" s="318"/>
      <c r="Q399" s="318"/>
      <c r="R399" s="323" t="s">
        <v>321</v>
      </c>
      <c r="S399" s="323"/>
      <c r="T399" s="318"/>
    </row>
    <row r="400" spans="5:20" hidden="1" x14ac:dyDescent="0.35">
      <c r="E400" s="318"/>
      <c r="F400" s="318"/>
      <c r="G400" s="321">
        <v>44115</v>
      </c>
      <c r="H400" s="321"/>
      <c r="I400" s="321"/>
      <c r="J400" s="318"/>
      <c r="K400" s="318"/>
      <c r="L400" s="318"/>
      <c r="M400" s="318"/>
      <c r="N400" s="318"/>
      <c r="O400" s="318"/>
      <c r="P400" s="318"/>
      <c r="Q400" s="318"/>
      <c r="R400" s="323" t="s">
        <v>322</v>
      </c>
      <c r="S400" s="323"/>
      <c r="T400" s="318"/>
    </row>
    <row r="401" spans="5:20" hidden="1" x14ac:dyDescent="0.35">
      <c r="E401" s="318"/>
      <c r="F401" s="318"/>
      <c r="G401" s="321">
        <v>44116</v>
      </c>
      <c r="H401" s="321"/>
      <c r="I401" s="321"/>
      <c r="J401" s="318"/>
      <c r="K401" s="318"/>
      <c r="L401" s="318"/>
      <c r="M401" s="318"/>
      <c r="N401" s="318"/>
      <c r="O401" s="318"/>
      <c r="P401" s="318"/>
      <c r="Q401" s="318"/>
      <c r="R401" s="323" t="s">
        <v>323</v>
      </c>
      <c r="S401" s="323"/>
      <c r="T401" s="318"/>
    </row>
    <row r="402" spans="5:20" hidden="1" x14ac:dyDescent="0.35">
      <c r="E402" s="318"/>
      <c r="F402" s="318"/>
      <c r="G402" s="321">
        <v>44117</v>
      </c>
      <c r="H402" s="321"/>
      <c r="I402" s="321"/>
      <c r="J402" s="318"/>
      <c r="K402" s="318"/>
      <c r="L402" s="318"/>
      <c r="M402" s="318"/>
      <c r="N402" s="318"/>
      <c r="O402" s="318"/>
      <c r="P402" s="318"/>
      <c r="Q402" s="318"/>
      <c r="R402" s="323" t="s">
        <v>324</v>
      </c>
      <c r="S402" s="323"/>
      <c r="T402" s="318"/>
    </row>
    <row r="403" spans="5:20" hidden="1" x14ac:dyDescent="0.35">
      <c r="E403" s="318"/>
      <c r="F403" s="318"/>
      <c r="G403" s="321">
        <v>44118</v>
      </c>
      <c r="H403" s="321"/>
      <c r="I403" s="321"/>
      <c r="J403" s="318"/>
      <c r="K403" s="318"/>
      <c r="L403" s="318"/>
      <c r="M403" s="318"/>
      <c r="N403" s="318"/>
      <c r="O403" s="318"/>
      <c r="P403" s="318"/>
      <c r="Q403" s="318"/>
      <c r="R403" s="323" t="s">
        <v>325</v>
      </c>
      <c r="S403" s="323"/>
      <c r="T403" s="318"/>
    </row>
    <row r="404" spans="5:20" hidden="1" x14ac:dyDescent="0.35">
      <c r="E404" s="318"/>
      <c r="F404" s="318"/>
      <c r="G404" s="321">
        <v>44119</v>
      </c>
      <c r="H404" s="321"/>
      <c r="I404" s="321"/>
      <c r="J404" s="318"/>
      <c r="K404" s="318"/>
      <c r="L404" s="318"/>
      <c r="M404" s="318"/>
      <c r="N404" s="318"/>
      <c r="O404" s="318"/>
      <c r="P404" s="318"/>
      <c r="Q404" s="318"/>
      <c r="R404" s="323" t="s">
        <v>326</v>
      </c>
      <c r="S404" s="323"/>
      <c r="T404" s="318"/>
    </row>
    <row r="405" spans="5:20" hidden="1" x14ac:dyDescent="0.35">
      <c r="E405" s="318"/>
      <c r="F405" s="318"/>
      <c r="G405" s="321">
        <v>44120</v>
      </c>
      <c r="H405" s="321"/>
      <c r="I405" s="321"/>
      <c r="J405" s="318"/>
      <c r="K405" s="318"/>
      <c r="L405" s="318"/>
      <c r="M405" s="318"/>
      <c r="N405" s="318"/>
      <c r="O405" s="318"/>
      <c r="P405" s="318"/>
      <c r="Q405" s="318"/>
      <c r="R405" s="323" t="s">
        <v>327</v>
      </c>
      <c r="S405" s="323"/>
      <c r="T405" s="318"/>
    </row>
    <row r="406" spans="5:20" hidden="1" x14ac:dyDescent="0.35">
      <c r="E406" s="318"/>
      <c r="F406" s="318"/>
      <c r="G406" s="321">
        <v>44121</v>
      </c>
      <c r="H406" s="321"/>
      <c r="I406" s="321"/>
      <c r="J406" s="318"/>
      <c r="K406" s="318"/>
      <c r="L406" s="318"/>
      <c r="M406" s="318"/>
      <c r="N406" s="318"/>
      <c r="O406" s="318"/>
      <c r="P406" s="318"/>
      <c r="Q406" s="318"/>
      <c r="R406" s="323" t="s">
        <v>328</v>
      </c>
      <c r="S406" s="323"/>
      <c r="T406" s="318"/>
    </row>
    <row r="407" spans="5:20" hidden="1" x14ac:dyDescent="0.35">
      <c r="E407" s="318"/>
      <c r="F407" s="318"/>
      <c r="G407" s="321">
        <v>44122</v>
      </c>
      <c r="H407" s="321"/>
      <c r="I407" s="321"/>
      <c r="J407" s="318"/>
      <c r="K407" s="318"/>
      <c r="L407" s="318"/>
      <c r="M407" s="318"/>
      <c r="N407" s="318"/>
      <c r="O407" s="318"/>
      <c r="P407" s="318"/>
      <c r="Q407" s="318"/>
      <c r="R407" s="323" t="s">
        <v>329</v>
      </c>
      <c r="S407" s="323"/>
      <c r="T407" s="318"/>
    </row>
    <row r="408" spans="5:20" hidden="1" x14ac:dyDescent="0.35">
      <c r="E408" s="318"/>
      <c r="F408" s="318"/>
      <c r="G408" s="321">
        <v>44123</v>
      </c>
      <c r="H408" s="321"/>
      <c r="I408" s="321"/>
      <c r="J408" s="318"/>
      <c r="K408" s="318"/>
      <c r="L408" s="318"/>
      <c r="M408" s="318"/>
      <c r="N408" s="318"/>
      <c r="O408" s="318"/>
      <c r="P408" s="318"/>
      <c r="Q408" s="318"/>
      <c r="R408" s="323" t="s">
        <v>330</v>
      </c>
      <c r="S408" s="323"/>
      <c r="T408" s="318"/>
    </row>
    <row r="409" spans="5:20" hidden="1" x14ac:dyDescent="0.35">
      <c r="E409" s="318"/>
      <c r="F409" s="318"/>
      <c r="G409" s="321">
        <v>44124</v>
      </c>
      <c r="H409" s="321"/>
      <c r="I409" s="321"/>
      <c r="J409" s="318"/>
      <c r="K409" s="318"/>
      <c r="L409" s="318"/>
      <c r="M409" s="318"/>
      <c r="N409" s="318"/>
      <c r="O409" s="318"/>
      <c r="P409" s="318"/>
      <c r="Q409" s="318"/>
      <c r="R409" s="323" t="s">
        <v>331</v>
      </c>
      <c r="S409" s="323"/>
      <c r="T409" s="318"/>
    </row>
    <row r="410" spans="5:20" hidden="1" x14ac:dyDescent="0.35">
      <c r="E410" s="318"/>
      <c r="F410" s="318"/>
      <c r="G410" s="321">
        <v>44125</v>
      </c>
      <c r="H410" s="321"/>
      <c r="I410" s="321"/>
      <c r="J410" s="318"/>
      <c r="K410" s="318"/>
      <c r="L410" s="318"/>
      <c r="M410" s="318"/>
      <c r="N410" s="318"/>
      <c r="O410" s="318"/>
      <c r="P410" s="318"/>
      <c r="Q410" s="318"/>
      <c r="R410" s="323" t="s">
        <v>332</v>
      </c>
      <c r="S410" s="323"/>
      <c r="T410" s="318"/>
    </row>
    <row r="411" spans="5:20" hidden="1" x14ac:dyDescent="0.35">
      <c r="E411" s="318"/>
      <c r="F411" s="318"/>
      <c r="G411" s="321">
        <v>44126</v>
      </c>
      <c r="H411" s="321"/>
      <c r="I411" s="321"/>
      <c r="J411" s="318"/>
      <c r="K411" s="318"/>
      <c r="L411" s="318"/>
      <c r="M411" s="318"/>
      <c r="N411" s="318"/>
      <c r="O411" s="318"/>
      <c r="P411" s="318"/>
      <c r="Q411" s="318"/>
      <c r="R411" s="323" t="s">
        <v>333</v>
      </c>
      <c r="S411" s="323"/>
      <c r="T411" s="318"/>
    </row>
    <row r="412" spans="5:20" hidden="1" x14ac:dyDescent="0.35">
      <c r="E412" s="318"/>
      <c r="F412" s="318"/>
      <c r="G412" s="321">
        <v>44127</v>
      </c>
      <c r="H412" s="321"/>
      <c r="I412" s="321"/>
      <c r="J412" s="318"/>
      <c r="K412" s="318"/>
      <c r="L412" s="318"/>
      <c r="M412" s="318"/>
      <c r="N412" s="318"/>
      <c r="O412" s="318"/>
      <c r="P412" s="318"/>
      <c r="Q412" s="318"/>
      <c r="R412" s="323" t="s">
        <v>334</v>
      </c>
      <c r="S412" s="323"/>
      <c r="T412" s="318"/>
    </row>
    <row r="413" spans="5:20" hidden="1" x14ac:dyDescent="0.35">
      <c r="E413" s="318"/>
      <c r="F413" s="318"/>
      <c r="G413" s="321">
        <v>44128</v>
      </c>
      <c r="H413" s="321"/>
      <c r="I413" s="321"/>
      <c r="J413" s="318"/>
      <c r="K413" s="318"/>
      <c r="L413" s="318"/>
      <c r="M413" s="318"/>
      <c r="N413" s="318"/>
      <c r="O413" s="318"/>
      <c r="P413" s="318"/>
      <c r="Q413" s="318"/>
      <c r="R413" s="323" t="s">
        <v>335</v>
      </c>
      <c r="S413" s="323"/>
      <c r="T413" s="318"/>
    </row>
    <row r="414" spans="5:20" hidden="1" x14ac:dyDescent="0.35">
      <c r="E414" s="318"/>
      <c r="F414" s="318"/>
      <c r="G414" s="321">
        <v>44129</v>
      </c>
      <c r="H414" s="321"/>
      <c r="I414" s="321"/>
      <c r="J414" s="318"/>
      <c r="K414" s="318"/>
      <c r="L414" s="318"/>
      <c r="M414" s="318"/>
      <c r="N414" s="318"/>
      <c r="O414" s="318"/>
      <c r="P414" s="318"/>
      <c r="Q414" s="318"/>
      <c r="R414" s="323" t="s">
        <v>336</v>
      </c>
      <c r="S414" s="323"/>
      <c r="T414" s="318"/>
    </row>
    <row r="415" spans="5:20" hidden="1" x14ac:dyDescent="0.35">
      <c r="E415" s="318"/>
      <c r="F415" s="318"/>
      <c r="G415" s="321">
        <v>44130</v>
      </c>
      <c r="H415" s="321"/>
      <c r="I415" s="321"/>
      <c r="J415" s="318"/>
      <c r="K415" s="318"/>
      <c r="L415" s="318"/>
      <c r="M415" s="318"/>
      <c r="N415" s="318"/>
      <c r="O415" s="318"/>
      <c r="P415" s="318"/>
      <c r="Q415" s="318"/>
      <c r="R415" s="323" t="s">
        <v>337</v>
      </c>
      <c r="S415" s="323"/>
      <c r="T415" s="318"/>
    </row>
    <row r="416" spans="5:20" hidden="1" x14ac:dyDescent="0.35">
      <c r="E416" s="318"/>
      <c r="F416" s="318"/>
      <c r="G416" s="321">
        <v>44131</v>
      </c>
      <c r="H416" s="321"/>
      <c r="I416" s="321"/>
      <c r="J416" s="318"/>
      <c r="K416" s="318"/>
      <c r="L416" s="318"/>
      <c r="M416" s="318"/>
      <c r="N416" s="318"/>
      <c r="O416" s="318"/>
      <c r="P416" s="318"/>
      <c r="Q416" s="318"/>
      <c r="R416" s="323" t="s">
        <v>338</v>
      </c>
      <c r="S416" s="323"/>
      <c r="T416" s="318"/>
    </row>
    <row r="417" spans="5:20" hidden="1" x14ac:dyDescent="0.35">
      <c r="E417" s="318"/>
      <c r="F417" s="318"/>
      <c r="G417" s="321">
        <v>44132</v>
      </c>
      <c r="H417" s="321"/>
      <c r="I417" s="321"/>
      <c r="J417" s="318"/>
      <c r="K417" s="318"/>
      <c r="L417" s="318"/>
      <c r="M417" s="318"/>
      <c r="N417" s="318"/>
      <c r="O417" s="318"/>
      <c r="P417" s="318"/>
      <c r="Q417" s="318"/>
      <c r="R417" s="323" t="s">
        <v>339</v>
      </c>
      <c r="S417" s="323"/>
      <c r="T417" s="318"/>
    </row>
    <row r="418" spans="5:20" hidden="1" x14ac:dyDescent="0.35">
      <c r="E418" s="318"/>
      <c r="F418" s="318"/>
      <c r="G418" s="321">
        <v>44133</v>
      </c>
      <c r="H418" s="321"/>
      <c r="I418" s="321"/>
      <c r="J418" s="318"/>
      <c r="K418" s="318"/>
      <c r="L418" s="318"/>
      <c r="M418" s="318"/>
      <c r="N418" s="318"/>
      <c r="O418" s="318"/>
      <c r="P418" s="318"/>
      <c r="Q418" s="318"/>
      <c r="R418" s="323" t="s">
        <v>340</v>
      </c>
      <c r="S418" s="323"/>
      <c r="T418" s="318"/>
    </row>
    <row r="419" spans="5:20" hidden="1" x14ac:dyDescent="0.35">
      <c r="E419" s="318"/>
      <c r="F419" s="318"/>
      <c r="G419" s="321">
        <v>44134</v>
      </c>
      <c r="H419" s="321"/>
      <c r="I419" s="321"/>
      <c r="J419" s="318"/>
      <c r="K419" s="318"/>
      <c r="L419" s="318"/>
      <c r="M419" s="318"/>
      <c r="N419" s="318"/>
      <c r="O419" s="318"/>
      <c r="P419" s="318"/>
      <c r="Q419" s="318"/>
      <c r="R419" s="323" t="s">
        <v>341</v>
      </c>
      <c r="S419" s="323"/>
      <c r="T419" s="318"/>
    </row>
    <row r="420" spans="5:20" hidden="1" x14ac:dyDescent="0.35">
      <c r="E420" s="318"/>
      <c r="F420" s="318"/>
      <c r="G420" s="321">
        <v>44135</v>
      </c>
      <c r="H420" s="321"/>
      <c r="I420" s="321"/>
      <c r="J420" s="318"/>
      <c r="K420" s="318"/>
      <c r="L420" s="318"/>
      <c r="M420" s="318"/>
      <c r="N420" s="318"/>
      <c r="O420" s="318"/>
      <c r="P420" s="318"/>
      <c r="Q420" s="318"/>
      <c r="R420" s="323" t="s">
        <v>342</v>
      </c>
      <c r="S420" s="323"/>
      <c r="T420" s="318"/>
    </row>
    <row r="421" spans="5:20" hidden="1" x14ac:dyDescent="0.35">
      <c r="E421" s="318"/>
      <c r="F421" s="318"/>
      <c r="G421" s="321">
        <v>44136</v>
      </c>
      <c r="H421" s="321"/>
      <c r="I421" s="321"/>
      <c r="J421" s="318"/>
      <c r="K421" s="318"/>
      <c r="L421" s="318"/>
      <c r="M421" s="318"/>
      <c r="N421" s="318"/>
      <c r="O421" s="318"/>
      <c r="P421" s="318"/>
      <c r="Q421" s="318"/>
      <c r="R421" s="323" t="s">
        <v>343</v>
      </c>
      <c r="S421" s="323"/>
      <c r="T421" s="318"/>
    </row>
    <row r="422" spans="5:20" hidden="1" x14ac:dyDescent="0.35">
      <c r="E422" s="318"/>
      <c r="F422" s="318"/>
      <c r="G422" s="321">
        <v>44137</v>
      </c>
      <c r="H422" s="321"/>
      <c r="I422" s="321"/>
      <c r="J422" s="318"/>
      <c r="K422" s="318"/>
      <c r="L422" s="318"/>
      <c r="M422" s="318"/>
      <c r="N422" s="318"/>
      <c r="O422" s="318"/>
      <c r="P422" s="318"/>
      <c r="Q422" s="318"/>
      <c r="R422" s="323" t="s">
        <v>344</v>
      </c>
      <c r="S422" s="323"/>
      <c r="T422" s="318"/>
    </row>
    <row r="423" spans="5:20" hidden="1" x14ac:dyDescent="0.35">
      <c r="E423" s="318"/>
      <c r="F423" s="318"/>
      <c r="G423" s="321">
        <v>44138</v>
      </c>
      <c r="H423" s="321"/>
      <c r="I423" s="321"/>
      <c r="J423" s="318"/>
      <c r="K423" s="318"/>
      <c r="L423" s="318"/>
      <c r="M423" s="318"/>
      <c r="N423" s="318"/>
      <c r="O423" s="318"/>
      <c r="P423" s="318"/>
      <c r="Q423" s="318"/>
      <c r="R423" s="323" t="s">
        <v>345</v>
      </c>
      <c r="S423" s="323"/>
      <c r="T423" s="318"/>
    </row>
    <row r="424" spans="5:20" hidden="1" x14ac:dyDescent="0.35">
      <c r="E424" s="318"/>
      <c r="F424" s="318"/>
      <c r="G424" s="321">
        <v>44139</v>
      </c>
      <c r="H424" s="321"/>
      <c r="I424" s="321"/>
      <c r="J424" s="318"/>
      <c r="K424" s="318"/>
      <c r="L424" s="318"/>
      <c r="M424" s="318"/>
      <c r="N424" s="318"/>
      <c r="O424" s="318"/>
      <c r="P424" s="318"/>
      <c r="Q424" s="318"/>
      <c r="R424" s="323" t="s">
        <v>346</v>
      </c>
      <c r="S424" s="323"/>
      <c r="T424" s="318"/>
    </row>
    <row r="425" spans="5:20" hidden="1" x14ac:dyDescent="0.35">
      <c r="E425" s="318"/>
      <c r="F425" s="318"/>
      <c r="G425" s="321">
        <v>44140</v>
      </c>
      <c r="H425" s="321"/>
      <c r="I425" s="321"/>
      <c r="J425" s="318"/>
      <c r="K425" s="318"/>
      <c r="L425" s="318"/>
      <c r="M425" s="318"/>
      <c r="N425" s="318"/>
      <c r="O425" s="318"/>
      <c r="P425" s="318"/>
      <c r="Q425" s="318"/>
      <c r="R425" s="323" t="s">
        <v>347</v>
      </c>
      <c r="S425" s="323"/>
      <c r="T425" s="318"/>
    </row>
    <row r="426" spans="5:20" hidden="1" x14ac:dyDescent="0.35">
      <c r="E426" s="318"/>
      <c r="F426" s="318"/>
      <c r="G426" s="321">
        <v>44141</v>
      </c>
      <c r="H426" s="321"/>
      <c r="I426" s="321"/>
      <c r="J426" s="318"/>
      <c r="K426" s="318"/>
      <c r="L426" s="318"/>
      <c r="M426" s="318"/>
      <c r="N426" s="318"/>
      <c r="O426" s="318"/>
      <c r="P426" s="318"/>
      <c r="Q426" s="318"/>
      <c r="R426" s="323" t="s">
        <v>348</v>
      </c>
      <c r="S426" s="323"/>
      <c r="T426" s="318"/>
    </row>
    <row r="427" spans="5:20" hidden="1" x14ac:dyDescent="0.35">
      <c r="E427" s="318"/>
      <c r="F427" s="318"/>
      <c r="G427" s="321">
        <v>44142</v>
      </c>
      <c r="H427" s="321"/>
      <c r="I427" s="321"/>
      <c r="J427" s="318"/>
      <c r="K427" s="318"/>
      <c r="L427" s="318"/>
      <c r="M427" s="318"/>
      <c r="N427" s="318"/>
      <c r="O427" s="318"/>
      <c r="P427" s="318"/>
      <c r="Q427" s="318"/>
      <c r="R427" s="323" t="s">
        <v>349</v>
      </c>
      <c r="S427" s="323"/>
      <c r="T427" s="318"/>
    </row>
    <row r="428" spans="5:20" hidden="1" x14ac:dyDescent="0.35">
      <c r="E428" s="318"/>
      <c r="F428" s="318"/>
      <c r="G428" s="321">
        <v>44143</v>
      </c>
      <c r="H428" s="321"/>
      <c r="I428" s="321"/>
      <c r="J428" s="318"/>
      <c r="K428" s="318"/>
      <c r="L428" s="318"/>
      <c r="M428" s="318"/>
      <c r="N428" s="318"/>
      <c r="O428" s="318"/>
      <c r="P428" s="318"/>
      <c r="Q428" s="318"/>
      <c r="R428" s="323" t="s">
        <v>350</v>
      </c>
      <c r="S428" s="323"/>
      <c r="T428" s="318"/>
    </row>
    <row r="429" spans="5:20" hidden="1" x14ac:dyDescent="0.35">
      <c r="E429" s="318"/>
      <c r="F429" s="318"/>
      <c r="G429" s="321">
        <v>44144</v>
      </c>
      <c r="H429" s="321"/>
      <c r="I429" s="321"/>
      <c r="J429" s="318"/>
      <c r="K429" s="318"/>
      <c r="L429" s="318"/>
      <c r="M429" s="318"/>
      <c r="N429" s="318"/>
      <c r="O429" s="318"/>
      <c r="P429" s="318"/>
      <c r="Q429" s="318"/>
      <c r="R429" s="323" t="s">
        <v>351</v>
      </c>
      <c r="S429" s="323"/>
      <c r="T429" s="318"/>
    </row>
    <row r="430" spans="5:20" hidden="1" x14ac:dyDescent="0.35">
      <c r="E430" s="318"/>
      <c r="F430" s="318"/>
      <c r="G430" s="321">
        <v>44145</v>
      </c>
      <c r="H430" s="321"/>
      <c r="I430" s="321"/>
      <c r="J430" s="318"/>
      <c r="K430" s="318"/>
      <c r="L430" s="318"/>
      <c r="M430" s="318"/>
      <c r="N430" s="318"/>
      <c r="O430" s="318"/>
      <c r="P430" s="318"/>
      <c r="Q430" s="318"/>
      <c r="R430" s="323" t="s">
        <v>352</v>
      </c>
      <c r="S430" s="323"/>
      <c r="T430" s="318"/>
    </row>
    <row r="431" spans="5:20" hidden="1" x14ac:dyDescent="0.35">
      <c r="E431" s="318"/>
      <c r="F431" s="318"/>
      <c r="G431" s="321">
        <v>44146</v>
      </c>
      <c r="H431" s="321"/>
      <c r="I431" s="321"/>
      <c r="J431" s="318"/>
      <c r="K431" s="318"/>
      <c r="L431" s="318"/>
      <c r="M431" s="318"/>
      <c r="N431" s="318"/>
      <c r="O431" s="318"/>
      <c r="P431" s="318"/>
      <c r="Q431" s="318"/>
      <c r="R431" s="323" t="s">
        <v>353</v>
      </c>
      <c r="S431" s="323"/>
      <c r="T431" s="318"/>
    </row>
    <row r="432" spans="5:20" hidden="1" x14ac:dyDescent="0.35">
      <c r="E432" s="318"/>
      <c r="F432" s="318"/>
      <c r="G432" s="321">
        <v>44147</v>
      </c>
      <c r="H432" s="321"/>
      <c r="I432" s="321"/>
      <c r="J432" s="318"/>
      <c r="K432" s="318"/>
      <c r="L432" s="318"/>
      <c r="M432" s="318"/>
      <c r="N432" s="318"/>
      <c r="O432" s="318"/>
      <c r="P432" s="318"/>
      <c r="Q432" s="318"/>
      <c r="R432" s="323" t="s">
        <v>354</v>
      </c>
      <c r="S432" s="323"/>
      <c r="T432" s="318"/>
    </row>
    <row r="433" spans="5:20" hidden="1" x14ac:dyDescent="0.35">
      <c r="E433" s="318"/>
      <c r="F433" s="318"/>
      <c r="G433" s="321">
        <v>44148</v>
      </c>
      <c r="H433" s="321"/>
      <c r="I433" s="321"/>
      <c r="J433" s="318"/>
      <c r="K433" s="318"/>
      <c r="L433" s="318"/>
      <c r="M433" s="318"/>
      <c r="N433" s="318"/>
      <c r="O433" s="318"/>
      <c r="P433" s="318"/>
      <c r="Q433" s="318"/>
      <c r="R433" s="323" t="s">
        <v>355</v>
      </c>
      <c r="S433" s="323"/>
      <c r="T433" s="318"/>
    </row>
    <row r="434" spans="5:20" hidden="1" x14ac:dyDescent="0.35">
      <c r="E434" s="318"/>
      <c r="F434" s="318"/>
      <c r="G434" s="321">
        <v>44149</v>
      </c>
      <c r="H434" s="321"/>
      <c r="I434" s="321"/>
      <c r="J434" s="318"/>
      <c r="K434" s="318"/>
      <c r="L434" s="318"/>
      <c r="M434" s="318"/>
      <c r="N434" s="318"/>
      <c r="O434" s="318"/>
      <c r="P434" s="318"/>
      <c r="Q434" s="318"/>
      <c r="R434" s="323" t="s">
        <v>356</v>
      </c>
      <c r="S434" s="323"/>
      <c r="T434" s="318"/>
    </row>
    <row r="435" spans="5:20" hidden="1" x14ac:dyDescent="0.35">
      <c r="E435" s="318"/>
      <c r="F435" s="318"/>
      <c r="G435" s="321">
        <v>44150</v>
      </c>
      <c r="H435" s="321"/>
      <c r="I435" s="321"/>
      <c r="J435" s="318"/>
      <c r="K435" s="318"/>
      <c r="L435" s="318"/>
      <c r="M435" s="318"/>
      <c r="N435" s="318"/>
      <c r="O435" s="318"/>
      <c r="P435" s="318"/>
      <c r="Q435" s="318"/>
      <c r="R435" s="323" t="s">
        <v>357</v>
      </c>
      <c r="S435" s="323"/>
      <c r="T435" s="318"/>
    </row>
    <row r="436" spans="5:20" hidden="1" x14ac:dyDescent="0.35">
      <c r="E436" s="318"/>
      <c r="F436" s="318"/>
      <c r="G436" s="321">
        <v>44151</v>
      </c>
      <c r="H436" s="321"/>
      <c r="I436" s="321"/>
      <c r="J436" s="318"/>
      <c r="K436" s="318"/>
      <c r="L436" s="318"/>
      <c r="M436" s="318"/>
      <c r="N436" s="318"/>
      <c r="O436" s="318"/>
      <c r="P436" s="318"/>
      <c r="Q436" s="318"/>
      <c r="R436" s="323" t="s">
        <v>358</v>
      </c>
      <c r="S436" s="323"/>
      <c r="T436" s="318"/>
    </row>
    <row r="437" spans="5:20" hidden="1" x14ac:dyDescent="0.35">
      <c r="E437" s="318"/>
      <c r="F437" s="318"/>
      <c r="G437" s="321">
        <v>44152</v>
      </c>
      <c r="H437" s="321"/>
      <c r="I437" s="321"/>
      <c r="J437" s="318"/>
      <c r="K437" s="318"/>
      <c r="L437" s="318"/>
      <c r="M437" s="318"/>
      <c r="N437" s="318"/>
      <c r="O437" s="318"/>
      <c r="P437" s="318"/>
      <c r="Q437" s="318"/>
      <c r="R437" s="323" t="s">
        <v>359</v>
      </c>
      <c r="S437" s="323"/>
      <c r="T437" s="318"/>
    </row>
    <row r="438" spans="5:20" hidden="1" x14ac:dyDescent="0.35">
      <c r="E438" s="318"/>
      <c r="F438" s="318"/>
      <c r="G438" s="321">
        <v>44153</v>
      </c>
      <c r="H438" s="321"/>
      <c r="I438" s="321"/>
      <c r="J438" s="318"/>
      <c r="K438" s="318"/>
      <c r="L438" s="318"/>
      <c r="M438" s="318"/>
      <c r="N438" s="318"/>
      <c r="O438" s="318"/>
      <c r="P438" s="318"/>
      <c r="Q438" s="318"/>
      <c r="R438" s="323" t="s">
        <v>360</v>
      </c>
      <c r="S438" s="323"/>
      <c r="T438" s="318"/>
    </row>
    <row r="439" spans="5:20" hidden="1" x14ac:dyDescent="0.35">
      <c r="E439" s="318"/>
      <c r="F439" s="318"/>
      <c r="G439" s="321">
        <v>44154</v>
      </c>
      <c r="H439" s="321"/>
      <c r="I439" s="321"/>
      <c r="J439" s="318"/>
      <c r="K439" s="318"/>
      <c r="L439" s="318"/>
      <c r="M439" s="318"/>
      <c r="N439" s="318"/>
      <c r="O439" s="318"/>
      <c r="P439" s="318"/>
      <c r="Q439" s="318"/>
      <c r="R439" s="323" t="s">
        <v>361</v>
      </c>
      <c r="S439" s="323"/>
      <c r="T439" s="318"/>
    </row>
    <row r="440" spans="5:20" hidden="1" x14ac:dyDescent="0.35">
      <c r="E440" s="318"/>
      <c r="F440" s="318"/>
      <c r="G440" s="321">
        <v>44155</v>
      </c>
      <c r="H440" s="321"/>
      <c r="I440" s="321"/>
      <c r="J440" s="318"/>
      <c r="K440" s="318"/>
      <c r="L440" s="318"/>
      <c r="M440" s="318"/>
      <c r="N440" s="318"/>
      <c r="O440" s="318"/>
      <c r="P440" s="318"/>
      <c r="Q440" s="318"/>
      <c r="R440" s="323" t="s">
        <v>362</v>
      </c>
      <c r="S440" s="323"/>
      <c r="T440" s="318"/>
    </row>
    <row r="441" spans="5:20" hidden="1" x14ac:dyDescent="0.35">
      <c r="E441" s="318"/>
      <c r="F441" s="318"/>
      <c r="G441" s="321">
        <v>44156</v>
      </c>
      <c r="H441" s="321"/>
      <c r="I441" s="321"/>
      <c r="J441" s="318"/>
      <c r="K441" s="318"/>
      <c r="L441" s="318"/>
      <c r="M441" s="318"/>
      <c r="N441" s="318"/>
      <c r="O441" s="318"/>
      <c r="P441" s="318"/>
      <c r="Q441" s="318"/>
      <c r="R441" s="323" t="s">
        <v>363</v>
      </c>
      <c r="S441" s="323"/>
      <c r="T441" s="318"/>
    </row>
    <row r="442" spans="5:20" hidden="1" x14ac:dyDescent="0.35">
      <c r="E442" s="318"/>
      <c r="F442" s="318"/>
      <c r="G442" s="321">
        <v>44157</v>
      </c>
      <c r="H442" s="321"/>
      <c r="I442" s="321"/>
      <c r="J442" s="318"/>
      <c r="K442" s="318"/>
      <c r="L442" s="318"/>
      <c r="M442" s="318"/>
      <c r="N442" s="318"/>
      <c r="O442" s="318"/>
      <c r="P442" s="318"/>
      <c r="Q442" s="318"/>
      <c r="R442" s="323" t="s">
        <v>364</v>
      </c>
      <c r="S442" s="323"/>
      <c r="T442" s="318"/>
    </row>
    <row r="443" spans="5:20" hidden="1" x14ac:dyDescent="0.35">
      <c r="E443" s="318"/>
      <c r="F443" s="318"/>
      <c r="G443" s="321">
        <v>44158</v>
      </c>
      <c r="H443" s="321"/>
      <c r="I443" s="321"/>
      <c r="J443" s="318"/>
      <c r="K443" s="318"/>
      <c r="L443" s="318"/>
      <c r="M443" s="318"/>
      <c r="N443" s="318"/>
      <c r="O443" s="318"/>
      <c r="P443" s="318"/>
      <c r="Q443" s="318"/>
      <c r="R443" s="323" t="s">
        <v>365</v>
      </c>
      <c r="S443" s="323"/>
      <c r="T443" s="318"/>
    </row>
    <row r="444" spans="5:20" hidden="1" x14ac:dyDescent="0.35">
      <c r="E444" s="318"/>
      <c r="F444" s="318"/>
      <c r="G444" s="321">
        <v>44159</v>
      </c>
      <c r="H444" s="321"/>
      <c r="I444" s="321"/>
      <c r="J444" s="318"/>
      <c r="K444" s="318"/>
      <c r="L444" s="318"/>
      <c r="M444" s="318"/>
      <c r="N444" s="318"/>
      <c r="O444" s="318"/>
      <c r="P444" s="318"/>
      <c r="Q444" s="318"/>
      <c r="R444" s="323" t="s">
        <v>366</v>
      </c>
      <c r="S444" s="323"/>
      <c r="T444" s="318"/>
    </row>
    <row r="445" spans="5:20" hidden="1" x14ac:dyDescent="0.35">
      <c r="E445" s="318"/>
      <c r="F445" s="318"/>
      <c r="G445" s="321">
        <v>44160</v>
      </c>
      <c r="H445" s="321"/>
      <c r="I445" s="321"/>
      <c r="J445" s="318"/>
      <c r="K445" s="318"/>
      <c r="L445" s="318"/>
      <c r="M445" s="318"/>
      <c r="N445" s="318"/>
      <c r="O445" s="318"/>
      <c r="P445" s="318"/>
      <c r="Q445" s="318"/>
      <c r="R445" s="323" t="s">
        <v>367</v>
      </c>
      <c r="S445" s="323"/>
      <c r="T445" s="318"/>
    </row>
    <row r="446" spans="5:20" hidden="1" x14ac:dyDescent="0.35">
      <c r="E446" s="318"/>
      <c r="F446" s="318"/>
      <c r="G446" s="321">
        <v>44161</v>
      </c>
      <c r="H446" s="321"/>
      <c r="I446" s="321"/>
      <c r="J446" s="318"/>
      <c r="K446" s="318"/>
      <c r="L446" s="318"/>
      <c r="M446" s="318"/>
      <c r="N446" s="318"/>
      <c r="O446" s="318"/>
      <c r="P446" s="318"/>
      <c r="Q446" s="318"/>
      <c r="R446" s="323" t="s">
        <v>368</v>
      </c>
      <c r="S446" s="323"/>
      <c r="T446" s="318"/>
    </row>
    <row r="447" spans="5:20" hidden="1" x14ac:dyDescent="0.35">
      <c r="E447" s="318"/>
      <c r="F447" s="318"/>
      <c r="G447" s="321">
        <v>44162</v>
      </c>
      <c r="H447" s="321"/>
      <c r="I447" s="321"/>
      <c r="J447" s="318"/>
      <c r="K447" s="318"/>
      <c r="L447" s="318"/>
      <c r="M447" s="318"/>
      <c r="N447" s="318"/>
      <c r="O447" s="318"/>
      <c r="P447" s="318"/>
      <c r="Q447" s="318"/>
      <c r="R447" s="323" t="s">
        <v>369</v>
      </c>
      <c r="S447" s="323"/>
      <c r="T447" s="318"/>
    </row>
    <row r="448" spans="5:20" hidden="1" x14ac:dyDescent="0.35">
      <c r="E448" s="318"/>
      <c r="F448" s="318"/>
      <c r="G448" s="321">
        <v>44163</v>
      </c>
      <c r="H448" s="321"/>
      <c r="I448" s="321"/>
      <c r="J448" s="318"/>
      <c r="K448" s="318"/>
      <c r="L448" s="318"/>
      <c r="M448" s="318"/>
      <c r="N448" s="318"/>
      <c r="O448" s="318"/>
      <c r="P448" s="318"/>
      <c r="Q448" s="318"/>
      <c r="R448" s="323" t="s">
        <v>370</v>
      </c>
      <c r="S448" s="323"/>
      <c r="T448" s="318"/>
    </row>
    <row r="449" spans="5:20" hidden="1" x14ac:dyDescent="0.35">
      <c r="E449" s="318"/>
      <c r="F449" s="318"/>
      <c r="G449" s="321">
        <v>44164</v>
      </c>
      <c r="H449" s="321"/>
      <c r="I449" s="321"/>
      <c r="J449" s="318"/>
      <c r="K449" s="318"/>
      <c r="L449" s="318"/>
      <c r="M449" s="318"/>
      <c r="N449" s="318"/>
      <c r="O449" s="318"/>
      <c r="P449" s="318"/>
      <c r="Q449" s="318"/>
      <c r="R449" s="323" t="s">
        <v>371</v>
      </c>
      <c r="S449" s="323"/>
      <c r="T449" s="318"/>
    </row>
    <row r="450" spans="5:20" hidden="1" x14ac:dyDescent="0.35">
      <c r="E450" s="318"/>
      <c r="F450" s="318"/>
      <c r="G450" s="321">
        <v>44165</v>
      </c>
      <c r="H450" s="321"/>
      <c r="I450" s="321"/>
      <c r="J450" s="318"/>
      <c r="K450" s="318"/>
      <c r="L450" s="318"/>
      <c r="M450" s="318"/>
      <c r="N450" s="318"/>
      <c r="O450" s="318"/>
      <c r="P450" s="318"/>
      <c r="Q450" s="318"/>
      <c r="R450" s="323" t="s">
        <v>372</v>
      </c>
      <c r="S450" s="323"/>
      <c r="T450" s="318"/>
    </row>
    <row r="451" spans="5:20" hidden="1" x14ac:dyDescent="0.35">
      <c r="E451" s="318"/>
      <c r="F451" s="318"/>
      <c r="G451" s="321">
        <v>44166</v>
      </c>
      <c r="H451" s="321"/>
      <c r="I451" s="321"/>
      <c r="J451" s="318"/>
      <c r="K451" s="318"/>
      <c r="L451" s="318"/>
      <c r="M451" s="318"/>
      <c r="N451" s="318"/>
      <c r="O451" s="318"/>
      <c r="P451" s="318"/>
      <c r="Q451" s="318"/>
      <c r="R451" s="323" t="s">
        <v>373</v>
      </c>
      <c r="S451" s="323"/>
      <c r="T451" s="318"/>
    </row>
    <row r="452" spans="5:20" hidden="1" x14ac:dyDescent="0.35">
      <c r="E452" s="318"/>
      <c r="F452" s="318"/>
      <c r="G452" s="321">
        <v>44167</v>
      </c>
      <c r="H452" s="321"/>
      <c r="I452" s="321"/>
      <c r="J452" s="318"/>
      <c r="K452" s="318"/>
      <c r="L452" s="318"/>
      <c r="M452" s="318"/>
      <c r="N452" s="318"/>
      <c r="O452" s="318"/>
      <c r="P452" s="318"/>
      <c r="Q452" s="318"/>
      <c r="R452" s="323" t="s">
        <v>374</v>
      </c>
      <c r="S452" s="323"/>
      <c r="T452" s="318"/>
    </row>
    <row r="453" spans="5:20" hidden="1" x14ac:dyDescent="0.35">
      <c r="E453" s="318"/>
      <c r="F453" s="318"/>
      <c r="G453" s="321">
        <v>44168</v>
      </c>
      <c r="H453" s="321"/>
      <c r="I453" s="321"/>
      <c r="J453" s="318"/>
      <c r="K453" s="318"/>
      <c r="L453" s="318"/>
      <c r="M453" s="318"/>
      <c r="N453" s="318"/>
      <c r="O453" s="318"/>
      <c r="P453" s="318"/>
      <c r="Q453" s="318"/>
      <c r="R453" s="323" t="s">
        <v>375</v>
      </c>
      <c r="S453" s="323"/>
      <c r="T453" s="318"/>
    </row>
    <row r="454" spans="5:20" hidden="1" x14ac:dyDescent="0.35">
      <c r="E454" s="318"/>
      <c r="F454" s="318"/>
      <c r="G454" s="321">
        <v>44169</v>
      </c>
      <c r="H454" s="321"/>
      <c r="I454" s="321"/>
      <c r="J454" s="318"/>
      <c r="K454" s="318"/>
      <c r="L454" s="318"/>
      <c r="M454" s="318"/>
      <c r="N454" s="318"/>
      <c r="O454" s="318"/>
      <c r="P454" s="318"/>
      <c r="Q454" s="318"/>
      <c r="R454" s="323" t="s">
        <v>376</v>
      </c>
      <c r="S454" s="323"/>
      <c r="T454" s="318"/>
    </row>
    <row r="455" spans="5:20" hidden="1" x14ac:dyDescent="0.35">
      <c r="E455" s="318"/>
      <c r="F455" s="318"/>
      <c r="G455" s="321">
        <v>44170</v>
      </c>
      <c r="H455" s="321"/>
      <c r="I455" s="321"/>
      <c r="J455" s="318"/>
      <c r="K455" s="318"/>
      <c r="L455" s="318"/>
      <c r="M455" s="318"/>
      <c r="N455" s="318"/>
      <c r="O455" s="318"/>
      <c r="P455" s="318"/>
      <c r="Q455" s="318"/>
      <c r="R455" s="323" t="s">
        <v>377</v>
      </c>
      <c r="S455" s="323"/>
      <c r="T455" s="318"/>
    </row>
    <row r="456" spans="5:20" hidden="1" x14ac:dyDescent="0.35">
      <c r="E456" s="318"/>
      <c r="F456" s="318"/>
      <c r="G456" s="321">
        <v>44171</v>
      </c>
      <c r="H456" s="321"/>
      <c r="I456" s="321"/>
      <c r="J456" s="318"/>
      <c r="K456" s="318"/>
      <c r="L456" s="318"/>
      <c r="M456" s="318"/>
      <c r="N456" s="318"/>
      <c r="O456" s="318"/>
      <c r="P456" s="318"/>
      <c r="Q456" s="318"/>
      <c r="R456" s="323" t="s">
        <v>378</v>
      </c>
      <c r="S456" s="323"/>
      <c r="T456" s="318"/>
    </row>
    <row r="457" spans="5:20" hidden="1" x14ac:dyDescent="0.35">
      <c r="E457" s="318"/>
      <c r="F457" s="318"/>
      <c r="G457" s="321">
        <v>44172</v>
      </c>
      <c r="H457" s="321"/>
      <c r="I457" s="321"/>
      <c r="J457" s="318"/>
      <c r="K457" s="318"/>
      <c r="L457" s="318"/>
      <c r="M457" s="318"/>
      <c r="N457" s="318"/>
      <c r="O457" s="318"/>
      <c r="P457" s="318"/>
      <c r="Q457" s="318"/>
      <c r="R457" s="323" t="s">
        <v>379</v>
      </c>
      <c r="S457" s="323"/>
      <c r="T457" s="318"/>
    </row>
    <row r="458" spans="5:20" hidden="1" x14ac:dyDescent="0.35">
      <c r="E458" s="318"/>
      <c r="F458" s="318"/>
      <c r="G458" s="321">
        <v>44173</v>
      </c>
      <c r="H458" s="321"/>
      <c r="I458" s="321"/>
      <c r="J458" s="318"/>
      <c r="K458" s="318"/>
      <c r="L458" s="318"/>
      <c r="M458" s="318"/>
      <c r="N458" s="318"/>
      <c r="O458" s="318"/>
      <c r="P458" s="318"/>
      <c r="Q458" s="318"/>
      <c r="R458" s="323" t="s">
        <v>380</v>
      </c>
      <c r="S458" s="323"/>
      <c r="T458" s="318"/>
    </row>
    <row r="459" spans="5:20" hidden="1" x14ac:dyDescent="0.35">
      <c r="E459" s="318"/>
      <c r="F459" s="318"/>
      <c r="G459" s="321">
        <v>44174</v>
      </c>
      <c r="H459" s="321"/>
      <c r="I459" s="321"/>
      <c r="J459" s="318"/>
      <c r="K459" s="318"/>
      <c r="L459" s="318"/>
      <c r="M459" s="318"/>
      <c r="N459" s="318"/>
      <c r="O459" s="318"/>
      <c r="P459" s="318"/>
      <c r="Q459" s="318"/>
      <c r="R459" s="323" t="s">
        <v>381</v>
      </c>
      <c r="S459" s="323"/>
      <c r="T459" s="318"/>
    </row>
    <row r="460" spans="5:20" hidden="1" x14ac:dyDescent="0.35">
      <c r="E460" s="318"/>
      <c r="F460" s="318"/>
      <c r="G460" s="321">
        <v>44175</v>
      </c>
      <c r="H460" s="321"/>
      <c r="I460" s="321"/>
      <c r="J460" s="318"/>
      <c r="K460" s="318"/>
      <c r="L460" s="318"/>
      <c r="M460" s="318"/>
      <c r="N460" s="318"/>
      <c r="O460" s="318"/>
      <c r="P460" s="318"/>
      <c r="Q460" s="318"/>
      <c r="R460" s="323" t="s">
        <v>382</v>
      </c>
      <c r="S460" s="323"/>
      <c r="T460" s="318"/>
    </row>
    <row r="461" spans="5:20" hidden="1" x14ac:dyDescent="0.35">
      <c r="E461" s="318"/>
      <c r="F461" s="318"/>
      <c r="G461" s="321">
        <v>44176</v>
      </c>
      <c r="H461" s="321"/>
      <c r="I461" s="321"/>
      <c r="J461" s="318"/>
      <c r="K461" s="318"/>
      <c r="L461" s="318"/>
      <c r="M461" s="318"/>
      <c r="N461" s="318"/>
      <c r="O461" s="318"/>
      <c r="P461" s="318"/>
      <c r="Q461" s="318"/>
      <c r="R461" s="323" t="s">
        <v>383</v>
      </c>
      <c r="S461" s="323"/>
      <c r="T461" s="318"/>
    </row>
    <row r="462" spans="5:20" hidden="1" x14ac:dyDescent="0.35">
      <c r="E462" s="318"/>
      <c r="F462" s="318"/>
      <c r="G462" s="321">
        <v>44177</v>
      </c>
      <c r="H462" s="321"/>
      <c r="I462" s="321"/>
      <c r="J462" s="318"/>
      <c r="K462" s="318"/>
      <c r="L462" s="318"/>
      <c r="M462" s="318"/>
      <c r="N462" s="318"/>
      <c r="O462" s="318"/>
      <c r="P462" s="318"/>
      <c r="Q462" s="318"/>
      <c r="R462" s="323" t="s">
        <v>384</v>
      </c>
      <c r="S462" s="323"/>
      <c r="T462" s="318"/>
    </row>
    <row r="463" spans="5:20" hidden="1" x14ac:dyDescent="0.35">
      <c r="E463" s="318"/>
      <c r="F463" s="318"/>
      <c r="G463" s="321">
        <v>44178</v>
      </c>
      <c r="H463" s="321"/>
      <c r="I463" s="321"/>
      <c r="J463" s="318"/>
      <c r="K463" s="318"/>
      <c r="L463" s="318"/>
      <c r="M463" s="318"/>
      <c r="N463" s="318"/>
      <c r="O463" s="318"/>
      <c r="P463" s="318"/>
      <c r="Q463" s="318"/>
      <c r="R463" s="323" t="s">
        <v>385</v>
      </c>
      <c r="S463" s="323"/>
      <c r="T463" s="318"/>
    </row>
    <row r="464" spans="5:20" hidden="1" x14ac:dyDescent="0.35">
      <c r="E464" s="318"/>
      <c r="F464" s="318"/>
      <c r="G464" s="321">
        <v>44179</v>
      </c>
      <c r="H464" s="321"/>
      <c r="I464" s="321"/>
      <c r="J464" s="318"/>
      <c r="K464" s="318"/>
      <c r="L464" s="318"/>
      <c r="M464" s="318"/>
      <c r="N464" s="318"/>
      <c r="O464" s="318"/>
      <c r="P464" s="318"/>
      <c r="Q464" s="318"/>
      <c r="R464" s="323" t="s">
        <v>386</v>
      </c>
      <c r="S464" s="323"/>
      <c r="T464" s="318"/>
    </row>
    <row r="465" spans="5:20" hidden="1" x14ac:dyDescent="0.35">
      <c r="E465" s="318"/>
      <c r="F465" s="318"/>
      <c r="G465" s="321">
        <v>44180</v>
      </c>
      <c r="H465" s="321"/>
      <c r="I465" s="321"/>
      <c r="J465" s="318"/>
      <c r="K465" s="318"/>
      <c r="L465" s="318"/>
      <c r="M465" s="318"/>
      <c r="N465" s="318"/>
      <c r="O465" s="318"/>
      <c r="P465" s="318"/>
      <c r="Q465" s="318"/>
      <c r="R465" s="323" t="s">
        <v>387</v>
      </c>
      <c r="S465" s="323"/>
      <c r="T465" s="318"/>
    </row>
    <row r="466" spans="5:20" hidden="1" x14ac:dyDescent="0.35">
      <c r="E466" s="318"/>
      <c r="F466" s="318"/>
      <c r="G466" s="321">
        <v>44181</v>
      </c>
      <c r="H466" s="321"/>
      <c r="I466" s="321"/>
      <c r="J466" s="318"/>
      <c r="K466" s="318"/>
      <c r="L466" s="318"/>
      <c r="M466" s="318"/>
      <c r="N466" s="318"/>
      <c r="O466" s="318"/>
      <c r="P466" s="318"/>
      <c r="Q466" s="318"/>
      <c r="R466" s="323" t="s">
        <v>388</v>
      </c>
      <c r="S466" s="323"/>
      <c r="T466" s="318"/>
    </row>
    <row r="467" spans="5:20" hidden="1" x14ac:dyDescent="0.35">
      <c r="E467" s="318"/>
      <c r="F467" s="318"/>
      <c r="G467" s="321">
        <v>44182</v>
      </c>
      <c r="H467" s="321"/>
      <c r="I467" s="321"/>
      <c r="J467" s="318"/>
      <c r="K467" s="318"/>
      <c r="L467" s="318"/>
      <c r="M467" s="318"/>
      <c r="N467" s="318"/>
      <c r="O467" s="318"/>
      <c r="P467" s="318"/>
      <c r="Q467" s="318"/>
      <c r="R467" s="323" t="s">
        <v>389</v>
      </c>
      <c r="S467" s="323"/>
      <c r="T467" s="318"/>
    </row>
    <row r="468" spans="5:20" hidden="1" x14ac:dyDescent="0.35">
      <c r="E468" s="318"/>
      <c r="F468" s="318"/>
      <c r="G468" s="321">
        <v>44183</v>
      </c>
      <c r="H468" s="321"/>
      <c r="I468" s="321"/>
      <c r="J468" s="318"/>
      <c r="K468" s="318"/>
      <c r="L468" s="318"/>
      <c r="M468" s="318"/>
      <c r="N468" s="318"/>
      <c r="O468" s="318"/>
      <c r="P468" s="318"/>
      <c r="Q468" s="318"/>
      <c r="R468" s="323" t="s">
        <v>390</v>
      </c>
      <c r="S468" s="323"/>
      <c r="T468" s="318"/>
    </row>
    <row r="469" spans="5:20" hidden="1" x14ac:dyDescent="0.35">
      <c r="E469" s="318"/>
      <c r="F469" s="318"/>
      <c r="G469" s="321">
        <v>44184</v>
      </c>
      <c r="H469" s="321"/>
      <c r="I469" s="321"/>
      <c r="J469" s="318"/>
      <c r="K469" s="318"/>
      <c r="L469" s="318"/>
      <c r="M469" s="318"/>
      <c r="N469" s="318"/>
      <c r="O469" s="318"/>
      <c r="P469" s="318"/>
      <c r="Q469" s="318"/>
      <c r="R469" s="323" t="s">
        <v>391</v>
      </c>
      <c r="S469" s="323"/>
      <c r="T469" s="318"/>
    </row>
    <row r="470" spans="5:20" hidden="1" x14ac:dyDescent="0.35">
      <c r="E470" s="318"/>
      <c r="F470" s="318"/>
      <c r="G470" s="321">
        <v>44185</v>
      </c>
      <c r="H470" s="321"/>
      <c r="I470" s="321"/>
      <c r="J470" s="318"/>
      <c r="K470" s="318"/>
      <c r="L470" s="318"/>
      <c r="M470" s="318"/>
      <c r="N470" s="318"/>
      <c r="O470" s="318"/>
      <c r="P470" s="318"/>
      <c r="Q470" s="318"/>
      <c r="R470" s="323" t="s">
        <v>392</v>
      </c>
      <c r="S470" s="323"/>
      <c r="T470" s="318"/>
    </row>
    <row r="471" spans="5:20" hidden="1" x14ac:dyDescent="0.35">
      <c r="E471" s="318"/>
      <c r="F471" s="318"/>
      <c r="G471" s="321">
        <v>44186</v>
      </c>
      <c r="H471" s="321"/>
      <c r="I471" s="321"/>
      <c r="J471" s="318"/>
      <c r="K471" s="318"/>
      <c r="L471" s="318"/>
      <c r="M471" s="318"/>
      <c r="N471" s="318"/>
      <c r="O471" s="318"/>
      <c r="P471" s="318"/>
      <c r="Q471" s="318"/>
      <c r="R471" s="323" t="s">
        <v>393</v>
      </c>
      <c r="S471" s="323"/>
      <c r="T471" s="318"/>
    </row>
    <row r="472" spans="5:20" hidden="1" x14ac:dyDescent="0.35">
      <c r="E472" s="318"/>
      <c r="F472" s="318"/>
      <c r="G472" s="321">
        <v>44187</v>
      </c>
      <c r="H472" s="321"/>
      <c r="I472" s="321"/>
      <c r="J472" s="318"/>
      <c r="K472" s="318"/>
      <c r="L472" s="318"/>
      <c r="M472" s="318"/>
      <c r="N472" s="318"/>
      <c r="O472" s="318"/>
      <c r="P472" s="318"/>
      <c r="Q472" s="318"/>
      <c r="R472" s="323" t="s">
        <v>394</v>
      </c>
      <c r="S472" s="323"/>
      <c r="T472" s="318"/>
    </row>
    <row r="473" spans="5:20" hidden="1" x14ac:dyDescent="0.35">
      <c r="E473" s="318"/>
      <c r="F473" s="318"/>
      <c r="G473" s="321">
        <v>44188</v>
      </c>
      <c r="H473" s="321"/>
      <c r="I473" s="321"/>
      <c r="J473" s="318"/>
      <c r="K473" s="318"/>
      <c r="L473" s="318"/>
      <c r="M473" s="318"/>
      <c r="N473" s="318"/>
      <c r="O473" s="318"/>
      <c r="P473" s="318"/>
      <c r="Q473" s="318"/>
      <c r="R473" s="323" t="s">
        <v>395</v>
      </c>
      <c r="S473" s="323"/>
      <c r="T473" s="318"/>
    </row>
    <row r="474" spans="5:20" hidden="1" x14ac:dyDescent="0.35">
      <c r="E474" s="318"/>
      <c r="F474" s="318"/>
      <c r="G474" s="321">
        <v>44189</v>
      </c>
      <c r="H474" s="321"/>
      <c r="I474" s="321"/>
      <c r="J474" s="318"/>
      <c r="K474" s="318"/>
      <c r="L474" s="318"/>
      <c r="M474" s="318"/>
      <c r="N474" s="318"/>
      <c r="O474" s="318"/>
      <c r="P474" s="318"/>
      <c r="Q474" s="318"/>
      <c r="R474" s="323" t="s">
        <v>396</v>
      </c>
      <c r="S474" s="323"/>
      <c r="T474" s="318"/>
    </row>
    <row r="475" spans="5:20" hidden="1" x14ac:dyDescent="0.35">
      <c r="E475" s="318"/>
      <c r="F475" s="318"/>
      <c r="G475" s="321">
        <v>44190</v>
      </c>
      <c r="H475" s="321"/>
      <c r="I475" s="321"/>
      <c r="J475" s="318"/>
      <c r="K475" s="318"/>
      <c r="L475" s="318"/>
      <c r="M475" s="318"/>
      <c r="N475" s="318"/>
      <c r="O475" s="318"/>
      <c r="P475" s="318"/>
      <c r="Q475" s="318"/>
      <c r="R475" s="323" t="s">
        <v>397</v>
      </c>
      <c r="S475" s="323"/>
      <c r="T475" s="318"/>
    </row>
    <row r="476" spans="5:20" hidden="1" x14ac:dyDescent="0.35">
      <c r="E476" s="318"/>
      <c r="F476" s="318"/>
      <c r="G476" s="321">
        <v>44191</v>
      </c>
      <c r="H476" s="321"/>
      <c r="I476" s="321"/>
      <c r="J476" s="318"/>
      <c r="K476" s="318"/>
      <c r="L476" s="318"/>
      <c r="M476" s="318"/>
      <c r="N476" s="318"/>
      <c r="O476" s="318"/>
      <c r="P476" s="318"/>
      <c r="Q476" s="318"/>
      <c r="R476" s="323" t="s">
        <v>398</v>
      </c>
      <c r="S476" s="323"/>
      <c r="T476" s="318"/>
    </row>
    <row r="477" spans="5:20" hidden="1" x14ac:dyDescent="0.35">
      <c r="E477" s="318"/>
      <c r="F477" s="318"/>
      <c r="G477" s="321">
        <v>44192</v>
      </c>
      <c r="H477" s="321"/>
      <c r="I477" s="321"/>
      <c r="J477" s="318"/>
      <c r="K477" s="318"/>
      <c r="L477" s="318"/>
      <c r="M477" s="318"/>
      <c r="N477" s="318"/>
      <c r="O477" s="318"/>
      <c r="P477" s="318"/>
      <c r="Q477" s="318"/>
      <c r="R477" s="323" t="s">
        <v>399</v>
      </c>
      <c r="S477" s="323"/>
      <c r="T477" s="318"/>
    </row>
    <row r="478" spans="5:20" hidden="1" x14ac:dyDescent="0.35">
      <c r="E478" s="318"/>
      <c r="F478" s="318"/>
      <c r="G478" s="321">
        <v>44193</v>
      </c>
      <c r="H478" s="321"/>
      <c r="I478" s="321"/>
      <c r="J478" s="318"/>
      <c r="K478" s="318"/>
      <c r="L478" s="318"/>
      <c r="M478" s="318"/>
      <c r="N478" s="318"/>
      <c r="O478" s="318"/>
      <c r="P478" s="318"/>
      <c r="Q478" s="318"/>
      <c r="R478" s="323" t="s">
        <v>400</v>
      </c>
      <c r="S478" s="323"/>
      <c r="T478" s="318"/>
    </row>
    <row r="479" spans="5:20" hidden="1" x14ac:dyDescent="0.35">
      <c r="E479" s="318"/>
      <c r="F479" s="318"/>
      <c r="G479" s="321">
        <v>44194</v>
      </c>
      <c r="H479" s="321"/>
      <c r="I479" s="321"/>
      <c r="J479" s="318"/>
      <c r="K479" s="318"/>
      <c r="L479" s="318"/>
      <c r="M479" s="318"/>
      <c r="N479" s="318"/>
      <c r="O479" s="318"/>
      <c r="P479" s="318"/>
      <c r="Q479" s="318"/>
      <c r="R479" s="323" t="s">
        <v>401</v>
      </c>
      <c r="S479" s="323"/>
      <c r="T479" s="318"/>
    </row>
    <row r="480" spans="5:20" hidden="1" x14ac:dyDescent="0.35">
      <c r="E480" s="318"/>
      <c r="F480" s="318"/>
      <c r="G480" s="321">
        <v>44195</v>
      </c>
      <c r="H480" s="321"/>
      <c r="I480" s="321"/>
      <c r="J480" s="318"/>
      <c r="K480" s="318"/>
      <c r="L480" s="318"/>
      <c r="M480" s="318"/>
      <c r="N480" s="318"/>
      <c r="O480" s="318"/>
      <c r="P480" s="318"/>
      <c r="Q480" s="318"/>
      <c r="R480" s="323" t="s">
        <v>402</v>
      </c>
      <c r="S480" s="323"/>
      <c r="T480" s="318"/>
    </row>
    <row r="481" spans="5:20" hidden="1" x14ac:dyDescent="0.35">
      <c r="E481" s="318"/>
      <c r="F481" s="318"/>
      <c r="G481" s="321">
        <v>44196</v>
      </c>
      <c r="H481" s="321"/>
      <c r="I481" s="321"/>
      <c r="J481" s="318"/>
      <c r="K481" s="318"/>
      <c r="L481" s="318"/>
      <c r="M481" s="318"/>
      <c r="N481" s="318"/>
      <c r="O481" s="318"/>
      <c r="P481" s="318"/>
      <c r="Q481" s="318"/>
      <c r="R481" s="323" t="s">
        <v>403</v>
      </c>
      <c r="S481" s="323"/>
      <c r="T481" s="318"/>
    </row>
    <row r="482" spans="5:20" hidden="1" x14ac:dyDescent="0.35">
      <c r="E482" s="318"/>
      <c r="F482" s="318"/>
      <c r="G482" s="321">
        <v>44197</v>
      </c>
      <c r="H482" s="321"/>
      <c r="I482" s="321"/>
      <c r="J482" s="318"/>
      <c r="K482" s="318"/>
      <c r="L482" s="318"/>
      <c r="M482" s="318"/>
      <c r="N482" s="318"/>
      <c r="O482" s="318"/>
      <c r="P482" s="318"/>
      <c r="Q482" s="318"/>
      <c r="R482" s="323" t="s">
        <v>404</v>
      </c>
      <c r="S482" s="323"/>
      <c r="T482" s="318"/>
    </row>
    <row r="483" spans="5:20" hidden="1" x14ac:dyDescent="0.35">
      <c r="E483" s="318"/>
      <c r="F483" s="318"/>
      <c r="G483" s="321">
        <v>44198</v>
      </c>
      <c r="H483" s="321"/>
      <c r="I483" s="321"/>
      <c r="J483" s="318"/>
      <c r="K483" s="318"/>
      <c r="L483" s="318"/>
      <c r="M483" s="318"/>
      <c r="N483" s="318"/>
      <c r="O483" s="318"/>
      <c r="P483" s="318"/>
      <c r="Q483" s="318"/>
      <c r="R483" s="323" t="s">
        <v>405</v>
      </c>
      <c r="S483" s="323"/>
      <c r="T483" s="318"/>
    </row>
    <row r="484" spans="5:20" hidden="1" x14ac:dyDescent="0.35">
      <c r="E484" s="318"/>
      <c r="F484" s="318"/>
      <c r="G484" s="321">
        <v>44199</v>
      </c>
      <c r="H484" s="321"/>
      <c r="I484" s="321"/>
      <c r="J484" s="318"/>
      <c r="K484" s="318"/>
      <c r="L484" s="318"/>
      <c r="M484" s="318"/>
      <c r="N484" s="318"/>
      <c r="O484" s="318"/>
      <c r="P484" s="318"/>
      <c r="Q484" s="318"/>
      <c r="R484" s="323" t="s">
        <v>406</v>
      </c>
      <c r="S484" s="323"/>
      <c r="T484" s="318"/>
    </row>
    <row r="485" spans="5:20" hidden="1" x14ac:dyDescent="0.35">
      <c r="E485" s="318"/>
      <c r="F485" s="318"/>
      <c r="G485" s="321">
        <v>44200</v>
      </c>
      <c r="H485" s="321"/>
      <c r="I485" s="321"/>
      <c r="J485" s="318"/>
      <c r="K485" s="318"/>
      <c r="L485" s="318"/>
      <c r="M485" s="318"/>
      <c r="N485" s="318"/>
      <c r="O485" s="318"/>
      <c r="P485" s="318"/>
      <c r="Q485" s="318"/>
      <c r="R485" s="323" t="s">
        <v>407</v>
      </c>
      <c r="S485" s="323"/>
      <c r="T485" s="318"/>
    </row>
    <row r="486" spans="5:20" hidden="1" x14ac:dyDescent="0.35">
      <c r="E486" s="318"/>
      <c r="F486" s="318"/>
      <c r="G486" s="321">
        <v>44201</v>
      </c>
      <c r="H486" s="321"/>
      <c r="I486" s="321"/>
      <c r="J486" s="318"/>
      <c r="K486" s="318"/>
      <c r="L486" s="318"/>
      <c r="M486" s="318"/>
      <c r="N486" s="318"/>
      <c r="O486" s="318"/>
      <c r="P486" s="318"/>
      <c r="Q486" s="318"/>
      <c r="R486" s="323" t="s">
        <v>408</v>
      </c>
      <c r="S486" s="323"/>
      <c r="T486" s="318"/>
    </row>
    <row r="487" spans="5:20" hidden="1" x14ac:dyDescent="0.35">
      <c r="E487" s="318"/>
      <c r="F487" s="318"/>
      <c r="G487" s="321">
        <v>44202</v>
      </c>
      <c r="H487" s="321"/>
      <c r="I487" s="321"/>
      <c r="J487" s="318"/>
      <c r="K487" s="318"/>
      <c r="L487" s="318"/>
      <c r="M487" s="318"/>
      <c r="N487" s="318"/>
      <c r="O487" s="318"/>
      <c r="P487" s="318"/>
      <c r="Q487" s="318"/>
      <c r="R487" s="323" t="s">
        <v>409</v>
      </c>
      <c r="S487" s="323"/>
      <c r="T487" s="318"/>
    </row>
    <row r="488" spans="5:20" hidden="1" x14ac:dyDescent="0.35">
      <c r="E488" s="318"/>
      <c r="F488" s="318"/>
      <c r="G488" s="321">
        <v>44203</v>
      </c>
      <c r="H488" s="321"/>
      <c r="I488" s="321"/>
      <c r="J488" s="318"/>
      <c r="K488" s="318"/>
      <c r="L488" s="318"/>
      <c r="M488" s="318"/>
      <c r="N488" s="318"/>
      <c r="O488" s="318"/>
      <c r="P488" s="318"/>
      <c r="Q488" s="318"/>
      <c r="R488" s="323" t="s">
        <v>410</v>
      </c>
      <c r="S488" s="323"/>
      <c r="T488" s="318"/>
    </row>
    <row r="489" spans="5:20" hidden="1" x14ac:dyDescent="0.35">
      <c r="E489" s="318"/>
      <c r="F489" s="318"/>
      <c r="G489" s="321">
        <v>44204</v>
      </c>
      <c r="H489" s="321"/>
      <c r="I489" s="321"/>
      <c r="J489" s="318"/>
      <c r="K489" s="318"/>
      <c r="L489" s="318"/>
      <c r="M489" s="318"/>
      <c r="N489" s="318"/>
      <c r="O489" s="318"/>
      <c r="P489" s="318"/>
      <c r="Q489" s="318"/>
      <c r="R489" s="323" t="s">
        <v>411</v>
      </c>
      <c r="S489" s="323"/>
      <c r="T489" s="318"/>
    </row>
    <row r="490" spans="5:20" hidden="1" x14ac:dyDescent="0.35">
      <c r="E490" s="318"/>
      <c r="F490" s="318"/>
      <c r="G490" s="321">
        <v>44205</v>
      </c>
      <c r="H490" s="321"/>
      <c r="I490" s="321"/>
      <c r="J490" s="318"/>
      <c r="K490" s="318"/>
      <c r="L490" s="318"/>
      <c r="M490" s="318"/>
      <c r="N490" s="318"/>
      <c r="O490" s="318"/>
      <c r="P490" s="318"/>
      <c r="Q490" s="318"/>
      <c r="R490" s="323" t="s">
        <v>412</v>
      </c>
      <c r="S490" s="323"/>
      <c r="T490" s="318"/>
    </row>
    <row r="491" spans="5:20" hidden="1" x14ac:dyDescent="0.35">
      <c r="E491" s="318"/>
      <c r="F491" s="318"/>
      <c r="G491" s="321">
        <v>44206</v>
      </c>
      <c r="H491" s="321"/>
      <c r="I491" s="321"/>
      <c r="J491" s="318"/>
      <c r="K491" s="318"/>
      <c r="L491" s="318"/>
      <c r="M491" s="318"/>
      <c r="N491" s="318"/>
      <c r="O491" s="318"/>
      <c r="P491" s="318"/>
      <c r="Q491" s="318"/>
      <c r="R491" s="323" t="s">
        <v>413</v>
      </c>
      <c r="S491" s="323"/>
      <c r="T491" s="318"/>
    </row>
    <row r="492" spans="5:20" hidden="1" x14ac:dyDescent="0.35">
      <c r="E492" s="318"/>
      <c r="F492" s="318"/>
      <c r="G492" s="321">
        <v>44207</v>
      </c>
      <c r="H492" s="321"/>
      <c r="I492" s="321"/>
      <c r="J492" s="318"/>
      <c r="K492" s="318"/>
      <c r="L492" s="318"/>
      <c r="M492" s="318"/>
      <c r="N492" s="318"/>
      <c r="O492" s="318"/>
      <c r="P492" s="318"/>
      <c r="Q492" s="318"/>
      <c r="R492" s="323" t="s">
        <v>414</v>
      </c>
      <c r="S492" s="323"/>
      <c r="T492" s="318"/>
    </row>
    <row r="493" spans="5:20" hidden="1" x14ac:dyDescent="0.35">
      <c r="E493" s="318"/>
      <c r="F493" s="318"/>
      <c r="G493" s="321">
        <v>44208</v>
      </c>
      <c r="H493" s="321"/>
      <c r="I493" s="321"/>
      <c r="J493" s="318"/>
      <c r="K493" s="318"/>
      <c r="L493" s="318"/>
      <c r="M493" s="318"/>
      <c r="N493" s="318"/>
      <c r="O493" s="318"/>
      <c r="P493" s="318"/>
      <c r="Q493" s="318"/>
      <c r="R493" s="323" t="s">
        <v>415</v>
      </c>
      <c r="S493" s="323"/>
      <c r="T493" s="318"/>
    </row>
    <row r="494" spans="5:20" hidden="1" x14ac:dyDescent="0.35">
      <c r="E494" s="318"/>
      <c r="F494" s="318"/>
      <c r="G494" s="321">
        <v>44209</v>
      </c>
      <c r="H494" s="321"/>
      <c r="I494" s="321"/>
      <c r="J494" s="318"/>
      <c r="K494" s="318"/>
      <c r="L494" s="318"/>
      <c r="M494" s="318"/>
      <c r="N494" s="318"/>
      <c r="O494" s="318"/>
      <c r="P494" s="318"/>
      <c r="Q494" s="318"/>
      <c r="R494" s="323" t="s">
        <v>416</v>
      </c>
      <c r="S494" s="323"/>
      <c r="T494" s="318"/>
    </row>
    <row r="495" spans="5:20" hidden="1" x14ac:dyDescent="0.35">
      <c r="E495" s="318"/>
      <c r="F495" s="318"/>
      <c r="G495" s="321">
        <v>44210</v>
      </c>
      <c r="H495" s="321"/>
      <c r="I495" s="321"/>
      <c r="J495" s="318"/>
      <c r="K495" s="318"/>
      <c r="L495" s="318"/>
      <c r="M495" s="318"/>
      <c r="N495" s="318"/>
      <c r="O495" s="318"/>
      <c r="P495" s="318"/>
      <c r="Q495" s="318"/>
      <c r="R495" s="323" t="s">
        <v>417</v>
      </c>
      <c r="S495" s="323"/>
      <c r="T495" s="318"/>
    </row>
    <row r="496" spans="5:20" hidden="1" x14ac:dyDescent="0.35">
      <c r="E496" s="318"/>
      <c r="F496" s="318"/>
      <c r="G496" s="321">
        <v>44211</v>
      </c>
      <c r="H496" s="321"/>
      <c r="I496" s="321"/>
      <c r="J496" s="318"/>
      <c r="K496" s="318"/>
      <c r="L496" s="318"/>
      <c r="M496" s="318"/>
      <c r="N496" s="318"/>
      <c r="O496" s="318"/>
      <c r="P496" s="318"/>
      <c r="Q496" s="318"/>
      <c r="R496" s="323" t="s">
        <v>418</v>
      </c>
      <c r="S496" s="323"/>
      <c r="T496" s="318"/>
    </row>
    <row r="497" spans="5:20" hidden="1" x14ac:dyDescent="0.35">
      <c r="E497" s="318"/>
      <c r="F497" s="318"/>
      <c r="G497" s="321">
        <v>44212</v>
      </c>
      <c r="H497" s="321"/>
      <c r="I497" s="321"/>
      <c r="J497" s="318"/>
      <c r="K497" s="318"/>
      <c r="L497" s="318"/>
      <c r="M497" s="318"/>
      <c r="N497" s="318"/>
      <c r="O497" s="318"/>
      <c r="P497" s="318"/>
      <c r="Q497" s="318"/>
      <c r="R497" s="323" t="s">
        <v>419</v>
      </c>
      <c r="S497" s="323"/>
      <c r="T497" s="318"/>
    </row>
    <row r="498" spans="5:20" hidden="1" x14ac:dyDescent="0.35">
      <c r="E498" s="318"/>
      <c r="F498" s="318"/>
      <c r="G498" s="321">
        <v>44213</v>
      </c>
      <c r="H498" s="321"/>
      <c r="I498" s="321"/>
      <c r="J498" s="318"/>
      <c r="K498" s="318"/>
      <c r="L498" s="318"/>
      <c r="M498" s="318"/>
      <c r="N498" s="318"/>
      <c r="O498" s="318"/>
      <c r="P498" s="318"/>
      <c r="Q498" s="318"/>
      <c r="R498" s="323" t="s">
        <v>420</v>
      </c>
      <c r="S498" s="323"/>
      <c r="T498" s="318"/>
    </row>
    <row r="499" spans="5:20" hidden="1" x14ac:dyDescent="0.35">
      <c r="E499" s="318"/>
      <c r="F499" s="318"/>
      <c r="G499" s="321">
        <v>44214</v>
      </c>
      <c r="H499" s="321"/>
      <c r="I499" s="321"/>
      <c r="J499" s="318"/>
      <c r="K499" s="318"/>
      <c r="L499" s="318"/>
      <c r="M499" s="318"/>
      <c r="N499" s="318"/>
      <c r="O499" s="318"/>
      <c r="P499" s="318"/>
      <c r="Q499" s="318"/>
      <c r="R499" s="323" t="s">
        <v>421</v>
      </c>
      <c r="S499" s="323"/>
      <c r="T499" s="318"/>
    </row>
    <row r="500" spans="5:20" hidden="1" x14ac:dyDescent="0.35">
      <c r="E500" s="318"/>
      <c r="F500" s="318"/>
      <c r="G500" s="321">
        <v>44215</v>
      </c>
      <c r="H500" s="321"/>
      <c r="I500" s="321"/>
      <c r="J500" s="318"/>
      <c r="K500" s="318"/>
      <c r="L500" s="318"/>
      <c r="M500" s="318"/>
      <c r="N500" s="318"/>
      <c r="O500" s="318"/>
      <c r="P500" s="318"/>
      <c r="Q500" s="318"/>
      <c r="R500" s="323" t="s">
        <v>422</v>
      </c>
      <c r="S500" s="323"/>
      <c r="T500" s="318"/>
    </row>
    <row r="501" spans="5:20" hidden="1" x14ac:dyDescent="0.35">
      <c r="E501" s="318"/>
      <c r="F501" s="318"/>
      <c r="G501" s="321">
        <v>44216</v>
      </c>
      <c r="H501" s="321"/>
      <c r="I501" s="321"/>
      <c r="J501" s="318"/>
      <c r="K501" s="318"/>
      <c r="L501" s="318"/>
      <c r="M501" s="318"/>
      <c r="N501" s="318"/>
      <c r="O501" s="318"/>
      <c r="P501" s="318"/>
      <c r="Q501" s="318"/>
      <c r="R501" s="323" t="s">
        <v>423</v>
      </c>
      <c r="S501" s="323"/>
      <c r="T501" s="318"/>
    </row>
    <row r="502" spans="5:20" hidden="1" x14ac:dyDescent="0.35">
      <c r="E502" s="318"/>
      <c r="F502" s="318"/>
      <c r="G502" s="321">
        <v>44217</v>
      </c>
      <c r="H502" s="321"/>
      <c r="I502" s="321"/>
      <c r="J502" s="318"/>
      <c r="K502" s="318"/>
      <c r="L502" s="318"/>
      <c r="M502" s="318"/>
      <c r="N502" s="318"/>
      <c r="O502" s="318"/>
      <c r="P502" s="318"/>
      <c r="Q502" s="318"/>
      <c r="R502" s="323" t="s">
        <v>424</v>
      </c>
      <c r="S502" s="323"/>
      <c r="T502" s="318"/>
    </row>
    <row r="503" spans="5:20" hidden="1" x14ac:dyDescent="0.35">
      <c r="E503" s="318"/>
      <c r="F503" s="318"/>
      <c r="G503" s="321">
        <v>44218</v>
      </c>
      <c r="H503" s="321"/>
      <c r="I503" s="321"/>
      <c r="J503" s="318"/>
      <c r="K503" s="318"/>
      <c r="L503" s="318"/>
      <c r="M503" s="318"/>
      <c r="N503" s="318"/>
      <c r="O503" s="318"/>
      <c r="P503" s="318"/>
      <c r="Q503" s="318"/>
      <c r="R503" s="323" t="s">
        <v>425</v>
      </c>
      <c r="S503" s="323"/>
      <c r="T503" s="318"/>
    </row>
    <row r="504" spans="5:20" hidden="1" x14ac:dyDescent="0.35">
      <c r="E504" s="318"/>
      <c r="F504" s="318"/>
      <c r="G504" s="321">
        <v>44219</v>
      </c>
      <c r="H504" s="321"/>
      <c r="I504" s="321"/>
      <c r="J504" s="318"/>
      <c r="K504" s="318"/>
      <c r="L504" s="318"/>
      <c r="M504" s="318"/>
      <c r="N504" s="318"/>
      <c r="O504" s="318"/>
      <c r="P504" s="318"/>
      <c r="Q504" s="318"/>
      <c r="R504" s="323" t="s">
        <v>426</v>
      </c>
      <c r="S504" s="323"/>
      <c r="T504" s="318"/>
    </row>
    <row r="505" spans="5:20" hidden="1" x14ac:dyDescent="0.35">
      <c r="E505" s="318"/>
      <c r="F505" s="318"/>
      <c r="G505" s="321">
        <v>44220</v>
      </c>
      <c r="H505" s="321"/>
      <c r="I505" s="321"/>
      <c r="J505" s="318"/>
      <c r="K505" s="318"/>
      <c r="L505" s="318"/>
      <c r="M505" s="318"/>
      <c r="N505" s="318"/>
      <c r="O505" s="318"/>
      <c r="P505" s="318"/>
      <c r="Q505" s="318"/>
      <c r="R505" s="323" t="s">
        <v>427</v>
      </c>
      <c r="S505" s="323"/>
      <c r="T505" s="318"/>
    </row>
    <row r="506" spans="5:20" hidden="1" x14ac:dyDescent="0.35">
      <c r="E506" s="318"/>
      <c r="F506" s="318"/>
      <c r="G506" s="321">
        <v>44221</v>
      </c>
      <c r="H506" s="321"/>
      <c r="I506" s="321"/>
      <c r="J506" s="318"/>
      <c r="K506" s="318"/>
      <c r="L506" s="318"/>
      <c r="M506" s="318"/>
      <c r="N506" s="318"/>
      <c r="O506" s="318"/>
      <c r="P506" s="318"/>
      <c r="Q506" s="318"/>
      <c r="R506" s="323" t="s">
        <v>428</v>
      </c>
      <c r="S506" s="323"/>
      <c r="T506" s="318"/>
    </row>
    <row r="507" spans="5:20" hidden="1" x14ac:dyDescent="0.35">
      <c r="E507" s="318"/>
      <c r="F507" s="318"/>
      <c r="G507" s="321">
        <v>44222</v>
      </c>
      <c r="H507" s="321"/>
      <c r="I507" s="321"/>
      <c r="J507" s="318"/>
      <c r="K507" s="318"/>
      <c r="L507" s="318"/>
      <c r="M507" s="318"/>
      <c r="N507" s="318"/>
      <c r="O507" s="318"/>
      <c r="P507" s="318"/>
      <c r="Q507" s="318"/>
      <c r="R507" s="323" t="s">
        <v>429</v>
      </c>
      <c r="S507" s="323"/>
      <c r="T507" s="318"/>
    </row>
    <row r="508" spans="5:20" hidden="1" x14ac:dyDescent="0.35">
      <c r="E508" s="318"/>
      <c r="F508" s="318"/>
      <c r="G508" s="321">
        <v>44223</v>
      </c>
      <c r="H508" s="321"/>
      <c r="I508" s="321"/>
      <c r="J508" s="318"/>
      <c r="K508" s="318"/>
      <c r="L508" s="318"/>
      <c r="M508" s="318"/>
      <c r="N508" s="318"/>
      <c r="O508" s="318"/>
      <c r="P508" s="318"/>
      <c r="Q508" s="318"/>
      <c r="R508" s="323" t="s">
        <v>430</v>
      </c>
      <c r="S508" s="323"/>
      <c r="T508" s="318"/>
    </row>
    <row r="509" spans="5:20" hidden="1" x14ac:dyDescent="0.35">
      <c r="E509" s="318"/>
      <c r="F509" s="318"/>
      <c r="G509" s="321">
        <v>44224</v>
      </c>
      <c r="H509" s="321"/>
      <c r="I509" s="321"/>
      <c r="J509" s="318"/>
      <c r="K509" s="318"/>
      <c r="L509" s="318"/>
      <c r="M509" s="318"/>
      <c r="N509" s="318"/>
      <c r="O509" s="318"/>
      <c r="P509" s="318"/>
      <c r="Q509" s="318"/>
      <c r="R509" s="323" t="s">
        <v>431</v>
      </c>
      <c r="S509" s="323"/>
      <c r="T509" s="318"/>
    </row>
    <row r="510" spans="5:20" hidden="1" x14ac:dyDescent="0.35">
      <c r="E510" s="318"/>
      <c r="F510" s="318"/>
      <c r="G510" s="321">
        <v>44225</v>
      </c>
      <c r="H510" s="321"/>
      <c r="I510" s="321"/>
      <c r="J510" s="318"/>
      <c r="K510" s="318"/>
      <c r="L510" s="318"/>
      <c r="M510" s="318"/>
      <c r="N510" s="318"/>
      <c r="O510" s="318"/>
      <c r="P510" s="318"/>
      <c r="Q510" s="318"/>
      <c r="R510" s="323" t="s">
        <v>432</v>
      </c>
      <c r="S510" s="323"/>
      <c r="T510" s="318"/>
    </row>
    <row r="511" spans="5:20" hidden="1" x14ac:dyDescent="0.35">
      <c r="E511" s="318"/>
      <c r="F511" s="318"/>
      <c r="G511" s="321">
        <v>44226</v>
      </c>
      <c r="H511" s="321"/>
      <c r="I511" s="321"/>
      <c r="J511" s="318"/>
      <c r="K511" s="318"/>
      <c r="L511" s="318"/>
      <c r="M511" s="318"/>
      <c r="N511" s="318"/>
      <c r="O511" s="318"/>
      <c r="P511" s="318"/>
      <c r="Q511" s="318"/>
      <c r="R511" s="323" t="s">
        <v>433</v>
      </c>
      <c r="S511" s="323"/>
      <c r="T511" s="318"/>
    </row>
    <row r="512" spans="5:20" hidden="1" x14ac:dyDescent="0.35">
      <c r="E512" s="318"/>
      <c r="F512" s="318"/>
      <c r="G512" s="321">
        <v>44227</v>
      </c>
      <c r="H512" s="321"/>
      <c r="I512" s="321"/>
      <c r="J512" s="318"/>
      <c r="K512" s="318"/>
      <c r="L512" s="318"/>
      <c r="M512" s="318"/>
      <c r="N512" s="318"/>
      <c r="O512" s="318"/>
      <c r="P512" s="318"/>
      <c r="Q512" s="318"/>
      <c r="R512" s="323" t="s">
        <v>434</v>
      </c>
      <c r="S512" s="323"/>
      <c r="T512" s="318"/>
    </row>
    <row r="513" spans="5:20" hidden="1" x14ac:dyDescent="0.35">
      <c r="E513" s="318"/>
      <c r="F513" s="318"/>
      <c r="G513" s="321">
        <v>44228</v>
      </c>
      <c r="H513" s="321"/>
      <c r="I513" s="321"/>
      <c r="J513" s="318"/>
      <c r="K513" s="318"/>
      <c r="L513" s="318"/>
      <c r="M513" s="318"/>
      <c r="N513" s="318"/>
      <c r="O513" s="318"/>
      <c r="P513" s="318"/>
      <c r="Q513" s="318"/>
      <c r="R513" s="323" t="s">
        <v>435</v>
      </c>
      <c r="S513" s="323"/>
      <c r="T513" s="318"/>
    </row>
    <row r="514" spans="5:20" hidden="1" x14ac:dyDescent="0.35">
      <c r="E514" s="318"/>
      <c r="F514" s="318"/>
      <c r="G514" s="321">
        <v>44229</v>
      </c>
      <c r="H514" s="321"/>
      <c r="I514" s="321"/>
      <c r="J514" s="318"/>
      <c r="K514" s="318"/>
      <c r="L514" s="318"/>
      <c r="M514" s="318"/>
      <c r="N514" s="318"/>
      <c r="O514" s="318"/>
      <c r="P514" s="318"/>
      <c r="Q514" s="318"/>
      <c r="R514" s="323" t="s">
        <v>436</v>
      </c>
      <c r="S514" s="323"/>
      <c r="T514" s="318"/>
    </row>
    <row r="515" spans="5:20" hidden="1" x14ac:dyDescent="0.35">
      <c r="E515" s="318"/>
      <c r="F515" s="318"/>
      <c r="G515" s="321">
        <v>44230</v>
      </c>
      <c r="H515" s="321"/>
      <c r="I515" s="321"/>
      <c r="J515" s="318"/>
      <c r="K515" s="318"/>
      <c r="L515" s="318"/>
      <c r="M515" s="318"/>
      <c r="N515" s="318"/>
      <c r="O515" s="318"/>
      <c r="P515" s="318"/>
      <c r="Q515" s="318"/>
      <c r="R515" s="323" t="s">
        <v>437</v>
      </c>
      <c r="S515" s="323"/>
      <c r="T515" s="318"/>
    </row>
    <row r="516" spans="5:20" hidden="1" x14ac:dyDescent="0.35">
      <c r="E516" s="318"/>
      <c r="F516" s="318"/>
      <c r="G516" s="321">
        <v>44231</v>
      </c>
      <c r="H516" s="321"/>
      <c r="I516" s="321"/>
      <c r="J516" s="318"/>
      <c r="K516" s="318"/>
      <c r="L516" s="318"/>
      <c r="M516" s="318"/>
      <c r="N516" s="318"/>
      <c r="O516" s="318"/>
      <c r="P516" s="318"/>
      <c r="Q516" s="318"/>
      <c r="R516" s="323" t="s">
        <v>438</v>
      </c>
      <c r="S516" s="323"/>
      <c r="T516" s="318"/>
    </row>
    <row r="517" spans="5:20" hidden="1" x14ac:dyDescent="0.35">
      <c r="E517" s="318"/>
      <c r="F517" s="318"/>
      <c r="G517" s="321">
        <v>44232</v>
      </c>
      <c r="H517" s="321"/>
      <c r="I517" s="321"/>
      <c r="J517" s="318"/>
      <c r="K517" s="318"/>
      <c r="L517" s="318"/>
      <c r="M517" s="318"/>
      <c r="N517" s="318"/>
      <c r="O517" s="318"/>
      <c r="P517" s="318"/>
      <c r="Q517" s="318"/>
      <c r="R517" s="323" t="s">
        <v>439</v>
      </c>
      <c r="S517" s="323"/>
      <c r="T517" s="318"/>
    </row>
    <row r="518" spans="5:20" hidden="1" x14ac:dyDescent="0.35">
      <c r="E518" s="318"/>
      <c r="F518" s="318"/>
      <c r="G518" s="321">
        <v>44233</v>
      </c>
      <c r="H518" s="321"/>
      <c r="I518" s="321"/>
      <c r="J518" s="318"/>
      <c r="K518" s="318"/>
      <c r="L518" s="318"/>
      <c r="M518" s="318"/>
      <c r="N518" s="318"/>
      <c r="O518" s="318"/>
      <c r="P518" s="318"/>
      <c r="Q518" s="318"/>
      <c r="R518" s="323" t="s">
        <v>440</v>
      </c>
      <c r="S518" s="323"/>
      <c r="T518" s="318"/>
    </row>
    <row r="519" spans="5:20" hidden="1" x14ac:dyDescent="0.35">
      <c r="E519" s="318"/>
      <c r="F519" s="318"/>
      <c r="G519" s="321">
        <v>44234</v>
      </c>
      <c r="H519" s="321"/>
      <c r="I519" s="321"/>
      <c r="J519" s="318"/>
      <c r="K519" s="318"/>
      <c r="L519" s="318"/>
      <c r="M519" s="318"/>
      <c r="N519" s="318"/>
      <c r="O519" s="318"/>
      <c r="P519" s="318"/>
      <c r="Q519" s="318"/>
      <c r="R519" s="323" t="s">
        <v>441</v>
      </c>
      <c r="S519" s="323"/>
      <c r="T519" s="318"/>
    </row>
    <row r="520" spans="5:20" hidden="1" x14ac:dyDescent="0.35">
      <c r="E520" s="318"/>
      <c r="F520" s="318"/>
      <c r="G520" s="321">
        <v>44235</v>
      </c>
      <c r="H520" s="321"/>
      <c r="I520" s="321"/>
      <c r="J520" s="318"/>
      <c r="K520" s="318"/>
      <c r="L520" s="318"/>
      <c r="M520" s="318"/>
      <c r="N520" s="318"/>
      <c r="O520" s="318"/>
      <c r="P520" s="318"/>
      <c r="Q520" s="318"/>
      <c r="R520" s="323" t="s">
        <v>442</v>
      </c>
      <c r="S520" s="323"/>
      <c r="T520" s="318"/>
    </row>
    <row r="521" spans="5:20" hidden="1" x14ac:dyDescent="0.35">
      <c r="E521" s="318"/>
      <c r="F521" s="318"/>
      <c r="G521" s="321">
        <v>44236</v>
      </c>
      <c r="H521" s="321"/>
      <c r="I521" s="321"/>
      <c r="J521" s="318"/>
      <c r="K521" s="318"/>
      <c r="L521" s="318"/>
      <c r="M521" s="318"/>
      <c r="N521" s="318"/>
      <c r="O521" s="318"/>
      <c r="P521" s="318"/>
      <c r="Q521" s="318"/>
      <c r="R521" s="323" t="s">
        <v>443</v>
      </c>
      <c r="S521" s="323"/>
      <c r="T521" s="318"/>
    </row>
    <row r="522" spans="5:20" hidden="1" x14ac:dyDescent="0.35">
      <c r="E522" s="318"/>
      <c r="F522" s="318"/>
      <c r="G522" s="321">
        <v>44237</v>
      </c>
      <c r="H522" s="321"/>
      <c r="I522" s="321"/>
      <c r="J522" s="318"/>
      <c r="K522" s="318"/>
      <c r="L522" s="318"/>
      <c r="M522" s="318"/>
      <c r="N522" s="318"/>
      <c r="O522" s="318"/>
      <c r="P522" s="318"/>
      <c r="Q522" s="318"/>
      <c r="R522" s="323" t="s">
        <v>444</v>
      </c>
      <c r="S522" s="323"/>
      <c r="T522" s="318"/>
    </row>
    <row r="523" spans="5:20" hidden="1" x14ac:dyDescent="0.35">
      <c r="E523" s="318"/>
      <c r="F523" s="318"/>
      <c r="G523" s="321">
        <v>44238</v>
      </c>
      <c r="H523" s="321"/>
      <c r="I523" s="321"/>
      <c r="J523" s="318"/>
      <c r="K523" s="318"/>
      <c r="L523" s="318"/>
      <c r="M523" s="318"/>
      <c r="N523" s="318"/>
      <c r="O523" s="318"/>
      <c r="P523" s="318"/>
      <c r="Q523" s="318"/>
      <c r="R523" s="323" t="s">
        <v>445</v>
      </c>
      <c r="S523" s="323"/>
      <c r="T523" s="318"/>
    </row>
    <row r="524" spans="5:20" hidden="1" x14ac:dyDescent="0.35">
      <c r="E524" s="318"/>
      <c r="F524" s="318"/>
      <c r="G524" s="321">
        <v>44239</v>
      </c>
      <c r="H524" s="321"/>
      <c r="I524" s="321"/>
      <c r="J524" s="318"/>
      <c r="K524" s="318"/>
      <c r="L524" s="318"/>
      <c r="M524" s="318"/>
      <c r="N524" s="318"/>
      <c r="O524" s="318"/>
      <c r="P524" s="318"/>
      <c r="Q524" s="318"/>
      <c r="R524" s="323" t="s">
        <v>446</v>
      </c>
      <c r="S524" s="323"/>
      <c r="T524" s="318"/>
    </row>
    <row r="525" spans="5:20" hidden="1" x14ac:dyDescent="0.35">
      <c r="E525" s="318"/>
      <c r="F525" s="318"/>
      <c r="G525" s="321">
        <v>44240</v>
      </c>
      <c r="H525" s="321"/>
      <c r="I525" s="321"/>
      <c r="J525" s="318"/>
      <c r="K525" s="318"/>
      <c r="L525" s="318"/>
      <c r="M525" s="318"/>
      <c r="N525" s="318"/>
      <c r="O525" s="318"/>
      <c r="P525" s="318"/>
      <c r="Q525" s="318"/>
      <c r="R525" s="323" t="s">
        <v>447</v>
      </c>
      <c r="S525" s="323"/>
      <c r="T525" s="318"/>
    </row>
    <row r="526" spans="5:20" hidden="1" x14ac:dyDescent="0.35">
      <c r="E526" s="318"/>
      <c r="F526" s="318"/>
      <c r="G526" s="321">
        <v>44241</v>
      </c>
      <c r="H526" s="321"/>
      <c r="I526" s="321"/>
      <c r="J526" s="318"/>
      <c r="K526" s="318"/>
      <c r="L526" s="318"/>
      <c r="M526" s="318"/>
      <c r="N526" s="318"/>
      <c r="O526" s="318"/>
      <c r="P526" s="318"/>
      <c r="Q526" s="318"/>
      <c r="R526" s="323" t="s">
        <v>448</v>
      </c>
      <c r="S526" s="323"/>
      <c r="T526" s="318"/>
    </row>
    <row r="527" spans="5:20" hidden="1" x14ac:dyDescent="0.35">
      <c r="E527" s="318"/>
      <c r="F527" s="318"/>
      <c r="G527" s="321">
        <v>44242</v>
      </c>
      <c r="H527" s="321"/>
      <c r="I527" s="321"/>
      <c r="J527" s="318"/>
      <c r="K527" s="318"/>
      <c r="L527" s="318"/>
      <c r="M527" s="318"/>
      <c r="N527" s="318"/>
      <c r="O527" s="318"/>
      <c r="P527" s="318"/>
      <c r="Q527" s="318"/>
      <c r="R527" s="323" t="s">
        <v>449</v>
      </c>
      <c r="S527" s="323"/>
      <c r="T527" s="318"/>
    </row>
    <row r="528" spans="5:20" hidden="1" x14ac:dyDescent="0.35">
      <c r="E528" s="318"/>
      <c r="F528" s="318"/>
      <c r="G528" s="321">
        <v>44243</v>
      </c>
      <c r="H528" s="321"/>
      <c r="I528" s="321"/>
      <c r="J528" s="318"/>
      <c r="K528" s="318"/>
      <c r="L528" s="318"/>
      <c r="M528" s="318"/>
      <c r="N528" s="318"/>
      <c r="O528" s="318"/>
      <c r="P528" s="318"/>
      <c r="Q528" s="318"/>
      <c r="R528" s="323" t="s">
        <v>450</v>
      </c>
      <c r="S528" s="323"/>
      <c r="T528" s="318"/>
    </row>
    <row r="529" spans="5:20" hidden="1" x14ac:dyDescent="0.35">
      <c r="E529" s="318"/>
      <c r="F529" s="318"/>
      <c r="G529" s="321">
        <v>44244</v>
      </c>
      <c r="H529" s="321"/>
      <c r="I529" s="321"/>
      <c r="J529" s="318"/>
      <c r="K529" s="318"/>
      <c r="L529" s="318"/>
      <c r="M529" s="318"/>
      <c r="N529" s="318"/>
      <c r="O529" s="318"/>
      <c r="P529" s="318"/>
      <c r="Q529" s="318"/>
      <c r="R529" s="323" t="s">
        <v>451</v>
      </c>
      <c r="S529" s="323"/>
      <c r="T529" s="318"/>
    </row>
    <row r="530" spans="5:20" hidden="1" x14ac:dyDescent="0.35">
      <c r="E530" s="318"/>
      <c r="F530" s="318"/>
      <c r="G530" s="321">
        <v>44245</v>
      </c>
      <c r="H530" s="321"/>
      <c r="I530" s="321"/>
      <c r="J530" s="318"/>
      <c r="K530" s="318"/>
      <c r="L530" s="318"/>
      <c r="M530" s="318"/>
      <c r="N530" s="318"/>
      <c r="O530" s="318"/>
      <c r="P530" s="318"/>
      <c r="Q530" s="318"/>
      <c r="R530" s="323" t="s">
        <v>452</v>
      </c>
      <c r="S530" s="323"/>
      <c r="T530" s="318"/>
    </row>
    <row r="531" spans="5:20" hidden="1" x14ac:dyDescent="0.35">
      <c r="E531" s="318"/>
      <c r="F531" s="318"/>
      <c r="G531" s="321">
        <v>44246</v>
      </c>
      <c r="H531" s="321"/>
      <c r="I531" s="321"/>
      <c r="J531" s="318"/>
      <c r="K531" s="318"/>
      <c r="L531" s="318"/>
      <c r="M531" s="318"/>
      <c r="N531" s="318"/>
      <c r="O531" s="318"/>
      <c r="P531" s="318"/>
      <c r="Q531" s="318"/>
      <c r="R531" s="323" t="s">
        <v>453</v>
      </c>
      <c r="S531" s="323"/>
      <c r="T531" s="318"/>
    </row>
    <row r="532" spans="5:20" hidden="1" x14ac:dyDescent="0.35">
      <c r="E532" s="318"/>
      <c r="F532" s="318"/>
      <c r="G532" s="321">
        <v>44247</v>
      </c>
      <c r="H532" s="321"/>
      <c r="I532" s="321"/>
      <c r="J532" s="318"/>
      <c r="K532" s="318"/>
      <c r="L532" s="318"/>
      <c r="M532" s="318"/>
      <c r="N532" s="318"/>
      <c r="O532" s="318"/>
      <c r="P532" s="318"/>
      <c r="Q532" s="318"/>
      <c r="R532" s="323" t="s">
        <v>454</v>
      </c>
      <c r="S532" s="323"/>
      <c r="T532" s="318"/>
    </row>
    <row r="533" spans="5:20" hidden="1" x14ac:dyDescent="0.35">
      <c r="E533" s="318"/>
      <c r="F533" s="318"/>
      <c r="G533" s="321">
        <v>44248</v>
      </c>
      <c r="H533" s="321"/>
      <c r="I533" s="321"/>
      <c r="J533" s="318"/>
      <c r="K533" s="318"/>
      <c r="L533" s="318"/>
      <c r="M533" s="318"/>
      <c r="N533" s="318"/>
      <c r="O533" s="318"/>
      <c r="P533" s="318"/>
      <c r="Q533" s="318"/>
      <c r="R533" s="323" t="s">
        <v>455</v>
      </c>
      <c r="S533" s="323"/>
      <c r="T533" s="318"/>
    </row>
    <row r="534" spans="5:20" hidden="1" x14ac:dyDescent="0.35">
      <c r="E534" s="318"/>
      <c r="F534" s="318"/>
      <c r="G534" s="321">
        <v>44249</v>
      </c>
      <c r="H534" s="321"/>
      <c r="I534" s="321"/>
      <c r="J534" s="318"/>
      <c r="K534" s="318"/>
      <c r="L534" s="318"/>
      <c r="M534" s="318"/>
      <c r="N534" s="318"/>
      <c r="O534" s="318"/>
      <c r="P534" s="318"/>
      <c r="Q534" s="318"/>
      <c r="R534" s="323" t="s">
        <v>456</v>
      </c>
      <c r="S534" s="323"/>
      <c r="T534" s="318"/>
    </row>
    <row r="535" spans="5:20" hidden="1" x14ac:dyDescent="0.35">
      <c r="E535" s="318"/>
      <c r="F535" s="318"/>
      <c r="G535" s="321">
        <v>44250</v>
      </c>
      <c r="H535" s="321"/>
      <c r="I535" s="321"/>
      <c r="J535" s="318"/>
      <c r="K535" s="318"/>
      <c r="L535" s="318"/>
      <c r="M535" s="318"/>
      <c r="N535" s="318"/>
      <c r="O535" s="318"/>
      <c r="P535" s="318"/>
      <c r="Q535" s="318"/>
      <c r="R535" s="323" t="s">
        <v>457</v>
      </c>
      <c r="S535" s="323"/>
      <c r="T535" s="318"/>
    </row>
    <row r="536" spans="5:20" hidden="1" x14ac:dyDescent="0.35">
      <c r="E536" s="318"/>
      <c r="F536" s="318"/>
      <c r="G536" s="321">
        <v>44251</v>
      </c>
      <c r="H536" s="321"/>
      <c r="I536" s="321"/>
      <c r="J536" s="318"/>
      <c r="K536" s="318"/>
      <c r="L536" s="318"/>
      <c r="M536" s="318"/>
      <c r="N536" s="318"/>
      <c r="O536" s="318"/>
      <c r="P536" s="318"/>
      <c r="Q536" s="318"/>
      <c r="R536" s="323" t="s">
        <v>458</v>
      </c>
      <c r="S536" s="323"/>
      <c r="T536" s="318"/>
    </row>
    <row r="537" spans="5:20" hidden="1" x14ac:dyDescent="0.35">
      <c r="E537" s="318"/>
      <c r="F537" s="318"/>
      <c r="G537" s="321">
        <v>44252</v>
      </c>
      <c r="H537" s="321"/>
      <c r="I537" s="321"/>
      <c r="J537" s="318"/>
      <c r="K537" s="318"/>
      <c r="L537" s="318"/>
      <c r="M537" s="318"/>
      <c r="N537" s="318"/>
      <c r="O537" s="318"/>
      <c r="P537" s="318"/>
      <c r="Q537" s="318"/>
      <c r="R537" s="323" t="s">
        <v>459</v>
      </c>
      <c r="S537" s="323"/>
      <c r="T537" s="318"/>
    </row>
    <row r="538" spans="5:20" hidden="1" x14ac:dyDescent="0.35">
      <c r="E538" s="318"/>
      <c r="F538" s="318"/>
      <c r="G538" s="321">
        <v>44253</v>
      </c>
      <c r="H538" s="321"/>
      <c r="I538" s="321"/>
      <c r="J538" s="318"/>
      <c r="K538" s="318"/>
      <c r="L538" s="318"/>
      <c r="M538" s="318"/>
      <c r="N538" s="318"/>
      <c r="O538" s="318"/>
      <c r="P538" s="318"/>
      <c r="Q538" s="318"/>
      <c r="R538" s="323" t="s">
        <v>460</v>
      </c>
      <c r="S538" s="323"/>
      <c r="T538" s="318"/>
    </row>
    <row r="539" spans="5:20" hidden="1" x14ac:dyDescent="0.35">
      <c r="E539" s="318"/>
      <c r="F539" s="318"/>
      <c r="G539" s="321">
        <v>44254</v>
      </c>
      <c r="H539" s="321"/>
      <c r="I539" s="321"/>
      <c r="J539" s="318"/>
      <c r="K539" s="318"/>
      <c r="L539" s="318"/>
      <c r="M539" s="318"/>
      <c r="N539" s="318"/>
      <c r="O539" s="318"/>
      <c r="P539" s="318"/>
      <c r="Q539" s="318"/>
      <c r="R539" s="323" t="s">
        <v>461</v>
      </c>
      <c r="S539" s="323"/>
      <c r="T539" s="318"/>
    </row>
    <row r="540" spans="5:20" hidden="1" x14ac:dyDescent="0.35">
      <c r="E540" s="318"/>
      <c r="F540" s="318"/>
      <c r="G540" s="321">
        <v>44255</v>
      </c>
      <c r="H540" s="321"/>
      <c r="I540" s="321"/>
      <c r="J540" s="318"/>
      <c r="K540" s="318"/>
      <c r="L540" s="318"/>
      <c r="M540" s="318"/>
      <c r="N540" s="318"/>
      <c r="O540" s="318"/>
      <c r="P540" s="318"/>
      <c r="Q540" s="318"/>
      <c r="R540" s="323" t="s">
        <v>462</v>
      </c>
      <c r="S540" s="323"/>
      <c r="T540" s="318"/>
    </row>
    <row r="541" spans="5:20" hidden="1" x14ac:dyDescent="0.35">
      <c r="E541" s="318"/>
      <c r="F541" s="318"/>
      <c r="G541" s="321">
        <v>44256</v>
      </c>
      <c r="H541" s="321"/>
      <c r="I541" s="321"/>
      <c r="J541" s="318"/>
      <c r="K541" s="318"/>
      <c r="L541" s="318"/>
      <c r="M541" s="318"/>
      <c r="N541" s="318"/>
      <c r="O541" s="318"/>
      <c r="P541" s="318"/>
      <c r="Q541" s="318"/>
      <c r="R541" s="323" t="s">
        <v>463</v>
      </c>
      <c r="S541" s="323"/>
      <c r="T541" s="318"/>
    </row>
    <row r="542" spans="5:20" hidden="1" x14ac:dyDescent="0.35">
      <c r="E542" s="318"/>
      <c r="F542" s="318"/>
      <c r="G542" s="321">
        <v>44257</v>
      </c>
      <c r="H542" s="321"/>
      <c r="I542" s="321"/>
      <c r="J542" s="318"/>
      <c r="K542" s="318"/>
      <c r="L542" s="318"/>
      <c r="M542" s="318"/>
      <c r="N542" s="318"/>
      <c r="O542" s="318"/>
      <c r="P542" s="318"/>
      <c r="Q542" s="318"/>
      <c r="R542" s="323" t="s">
        <v>464</v>
      </c>
      <c r="S542" s="323"/>
      <c r="T542" s="318"/>
    </row>
    <row r="543" spans="5:20" hidden="1" x14ac:dyDescent="0.35">
      <c r="E543" s="318"/>
      <c r="F543" s="318"/>
      <c r="G543" s="321">
        <v>44258</v>
      </c>
      <c r="H543" s="321"/>
      <c r="I543" s="321"/>
      <c r="J543" s="318"/>
      <c r="K543" s="318"/>
      <c r="L543" s="318"/>
      <c r="M543" s="318"/>
      <c r="N543" s="318"/>
      <c r="O543" s="318"/>
      <c r="P543" s="318"/>
      <c r="Q543" s="318"/>
      <c r="R543" s="323" t="s">
        <v>465</v>
      </c>
      <c r="S543" s="323"/>
      <c r="T543" s="318"/>
    </row>
    <row r="544" spans="5:20" hidden="1" x14ac:dyDescent="0.35">
      <c r="E544" s="318"/>
      <c r="F544" s="318"/>
      <c r="G544" s="321">
        <v>44259</v>
      </c>
      <c r="H544" s="321"/>
      <c r="I544" s="321"/>
      <c r="J544" s="318"/>
      <c r="K544" s="318"/>
      <c r="L544" s="318"/>
      <c r="M544" s="318"/>
      <c r="N544" s="318"/>
      <c r="O544" s="318"/>
      <c r="P544" s="318"/>
      <c r="Q544" s="318"/>
      <c r="R544" s="323" t="s">
        <v>466</v>
      </c>
      <c r="S544" s="323"/>
      <c r="T544" s="318"/>
    </row>
    <row r="545" spans="5:20" hidden="1" x14ac:dyDescent="0.35">
      <c r="E545" s="318"/>
      <c r="F545" s="318"/>
      <c r="G545" s="321">
        <v>44260</v>
      </c>
      <c r="H545" s="321"/>
      <c r="I545" s="321"/>
      <c r="J545" s="318"/>
      <c r="K545" s="318"/>
      <c r="L545" s="318"/>
      <c r="M545" s="318"/>
      <c r="N545" s="318"/>
      <c r="O545" s="318"/>
      <c r="P545" s="318"/>
      <c r="Q545" s="318"/>
      <c r="R545" s="323" t="s">
        <v>467</v>
      </c>
      <c r="S545" s="323"/>
      <c r="T545" s="318"/>
    </row>
    <row r="546" spans="5:20" hidden="1" x14ac:dyDescent="0.35">
      <c r="E546" s="318"/>
      <c r="F546" s="318"/>
      <c r="G546" s="321">
        <v>44261</v>
      </c>
      <c r="H546" s="321"/>
      <c r="I546" s="321"/>
      <c r="J546" s="318"/>
      <c r="K546" s="318"/>
      <c r="L546" s="318"/>
      <c r="M546" s="318"/>
      <c r="N546" s="318"/>
      <c r="O546" s="318"/>
      <c r="P546" s="318"/>
      <c r="Q546" s="318"/>
      <c r="R546" s="323" t="s">
        <v>468</v>
      </c>
      <c r="S546" s="323"/>
      <c r="T546" s="318"/>
    </row>
    <row r="547" spans="5:20" hidden="1" x14ac:dyDescent="0.35">
      <c r="E547" s="318"/>
      <c r="F547" s="318"/>
      <c r="G547" s="321">
        <v>44262</v>
      </c>
      <c r="H547" s="321"/>
      <c r="I547" s="321"/>
      <c r="J547" s="318"/>
      <c r="K547" s="318"/>
      <c r="L547" s="318"/>
      <c r="M547" s="318"/>
      <c r="N547" s="318"/>
      <c r="O547" s="318"/>
      <c r="P547" s="318"/>
      <c r="Q547" s="318"/>
      <c r="R547" s="323" t="s">
        <v>469</v>
      </c>
      <c r="S547" s="323"/>
      <c r="T547" s="318"/>
    </row>
    <row r="548" spans="5:20" hidden="1" x14ac:dyDescent="0.35">
      <c r="E548" s="318"/>
      <c r="F548" s="318"/>
      <c r="G548" s="321">
        <v>44263</v>
      </c>
      <c r="H548" s="321"/>
      <c r="I548" s="321"/>
      <c r="J548" s="318"/>
      <c r="K548" s="318"/>
      <c r="L548" s="318"/>
      <c r="M548" s="318"/>
      <c r="N548" s="318"/>
      <c r="O548" s="318"/>
      <c r="P548" s="318"/>
      <c r="Q548" s="318"/>
      <c r="R548" s="323" t="s">
        <v>470</v>
      </c>
      <c r="S548" s="323"/>
      <c r="T548" s="318"/>
    </row>
    <row r="549" spans="5:20" hidden="1" x14ac:dyDescent="0.35">
      <c r="E549" s="318"/>
      <c r="F549" s="318"/>
      <c r="G549" s="321">
        <v>44264</v>
      </c>
      <c r="H549" s="321"/>
      <c r="I549" s="321"/>
      <c r="J549" s="318"/>
      <c r="K549" s="318"/>
      <c r="L549" s="318"/>
      <c r="M549" s="318"/>
      <c r="N549" s="318"/>
      <c r="O549" s="318"/>
      <c r="P549" s="318"/>
      <c r="Q549" s="318"/>
      <c r="R549" s="323" t="s">
        <v>471</v>
      </c>
      <c r="S549" s="323"/>
      <c r="T549" s="318"/>
    </row>
    <row r="550" spans="5:20" hidden="1" x14ac:dyDescent="0.35">
      <c r="E550" s="318"/>
      <c r="F550" s="318"/>
      <c r="G550" s="321">
        <v>44265</v>
      </c>
      <c r="H550" s="321"/>
      <c r="I550" s="321"/>
      <c r="J550" s="318"/>
      <c r="K550" s="318"/>
      <c r="L550" s="318"/>
      <c r="M550" s="318"/>
      <c r="N550" s="318"/>
      <c r="O550" s="318"/>
      <c r="P550" s="318"/>
      <c r="Q550" s="318"/>
      <c r="R550" s="323" t="s">
        <v>472</v>
      </c>
      <c r="S550" s="323"/>
      <c r="T550" s="318"/>
    </row>
    <row r="551" spans="5:20" hidden="1" x14ac:dyDescent="0.35">
      <c r="E551" s="318"/>
      <c r="F551" s="318"/>
      <c r="G551" s="321">
        <v>44266</v>
      </c>
      <c r="H551" s="321"/>
      <c r="I551" s="321"/>
      <c r="J551" s="318"/>
      <c r="K551" s="318"/>
      <c r="L551" s="318"/>
      <c r="M551" s="318"/>
      <c r="N551" s="318"/>
      <c r="O551" s="318"/>
      <c r="P551" s="318"/>
      <c r="Q551" s="318"/>
      <c r="R551" s="323" t="s">
        <v>473</v>
      </c>
      <c r="S551" s="323"/>
      <c r="T551" s="318"/>
    </row>
    <row r="552" spans="5:20" hidden="1" x14ac:dyDescent="0.35">
      <c r="E552" s="318"/>
      <c r="F552" s="318"/>
      <c r="G552" s="321">
        <v>44267</v>
      </c>
      <c r="H552" s="321"/>
      <c r="I552" s="321"/>
      <c r="J552" s="318"/>
      <c r="K552" s="318"/>
      <c r="L552" s="318"/>
      <c r="M552" s="318"/>
      <c r="N552" s="318"/>
      <c r="O552" s="318"/>
      <c r="P552" s="318"/>
      <c r="Q552" s="318"/>
      <c r="R552" s="323" t="s">
        <v>474</v>
      </c>
      <c r="S552" s="323"/>
      <c r="T552" s="318"/>
    </row>
    <row r="553" spans="5:20" hidden="1" x14ac:dyDescent="0.35">
      <c r="E553" s="318"/>
      <c r="F553" s="318"/>
      <c r="G553" s="321">
        <v>44268</v>
      </c>
      <c r="H553" s="321"/>
      <c r="I553" s="321"/>
      <c r="J553" s="318"/>
      <c r="K553" s="318"/>
      <c r="L553" s="318"/>
      <c r="M553" s="318"/>
      <c r="N553" s="318"/>
      <c r="O553" s="318"/>
      <c r="P553" s="318"/>
      <c r="Q553" s="318"/>
      <c r="R553" s="323" t="s">
        <v>475</v>
      </c>
      <c r="S553" s="323"/>
      <c r="T553" s="318"/>
    </row>
    <row r="554" spans="5:20" hidden="1" x14ac:dyDescent="0.35">
      <c r="E554" s="318"/>
      <c r="F554" s="318"/>
      <c r="G554" s="321">
        <v>44269</v>
      </c>
      <c r="H554" s="321"/>
      <c r="I554" s="321"/>
      <c r="J554" s="318"/>
      <c r="K554" s="318"/>
      <c r="L554" s="318"/>
      <c r="M554" s="318"/>
      <c r="N554" s="318"/>
      <c r="O554" s="318"/>
      <c r="P554" s="318"/>
      <c r="Q554" s="318"/>
      <c r="R554" s="323" t="s">
        <v>476</v>
      </c>
      <c r="S554" s="323"/>
      <c r="T554" s="318"/>
    </row>
    <row r="555" spans="5:20" hidden="1" x14ac:dyDescent="0.35">
      <c r="E555" s="318"/>
      <c r="F555" s="318"/>
      <c r="G555" s="321">
        <v>44270</v>
      </c>
      <c r="H555" s="321"/>
      <c r="I555" s="321"/>
      <c r="J555" s="318"/>
      <c r="K555" s="318"/>
      <c r="L555" s="318"/>
      <c r="M555" s="318"/>
      <c r="N555" s="318"/>
      <c r="O555" s="318"/>
      <c r="P555" s="318"/>
      <c r="Q555" s="318"/>
      <c r="R555" s="323" t="s">
        <v>477</v>
      </c>
      <c r="S555" s="323"/>
      <c r="T555" s="318"/>
    </row>
    <row r="556" spans="5:20" hidden="1" x14ac:dyDescent="0.35">
      <c r="E556" s="318"/>
      <c r="F556" s="318"/>
      <c r="G556" s="321">
        <v>44271</v>
      </c>
      <c r="H556" s="321"/>
      <c r="I556" s="321"/>
      <c r="J556" s="318"/>
      <c r="K556" s="318"/>
      <c r="L556" s="318"/>
      <c r="M556" s="318"/>
      <c r="N556" s="318"/>
      <c r="O556" s="318"/>
      <c r="P556" s="318"/>
      <c r="Q556" s="318"/>
      <c r="R556" s="323" t="s">
        <v>478</v>
      </c>
      <c r="S556" s="323"/>
      <c r="T556" s="318"/>
    </row>
    <row r="557" spans="5:20" hidden="1" x14ac:dyDescent="0.35">
      <c r="E557" s="318"/>
      <c r="F557" s="318"/>
      <c r="G557" s="321">
        <v>44272</v>
      </c>
      <c r="H557" s="321"/>
      <c r="I557" s="321"/>
      <c r="J557" s="318"/>
      <c r="K557" s="318"/>
      <c r="L557" s="318"/>
      <c r="M557" s="318"/>
      <c r="N557" s="318"/>
      <c r="O557" s="318"/>
      <c r="P557" s="318"/>
      <c r="Q557" s="318"/>
      <c r="R557" s="323" t="s">
        <v>479</v>
      </c>
      <c r="S557" s="323"/>
      <c r="T557" s="318"/>
    </row>
    <row r="558" spans="5:20" hidden="1" x14ac:dyDescent="0.35">
      <c r="E558" s="318"/>
      <c r="F558" s="318"/>
      <c r="G558" s="321">
        <v>44273</v>
      </c>
      <c r="H558" s="321"/>
      <c r="I558" s="321"/>
      <c r="J558" s="318"/>
      <c r="K558" s="318"/>
      <c r="L558" s="318"/>
      <c r="M558" s="318"/>
      <c r="N558" s="318"/>
      <c r="O558" s="318"/>
      <c r="P558" s="318"/>
      <c r="Q558" s="318"/>
      <c r="R558" s="323" t="s">
        <v>480</v>
      </c>
      <c r="S558" s="323"/>
      <c r="T558" s="318"/>
    </row>
    <row r="559" spans="5:20" hidden="1" x14ac:dyDescent="0.35">
      <c r="E559" s="318"/>
      <c r="F559" s="318"/>
      <c r="G559" s="321">
        <v>44274</v>
      </c>
      <c r="H559" s="321"/>
      <c r="I559" s="321"/>
      <c r="J559" s="318"/>
      <c r="K559" s="318"/>
      <c r="L559" s="318"/>
      <c r="M559" s="318"/>
      <c r="N559" s="318"/>
      <c r="O559" s="318"/>
      <c r="P559" s="318"/>
      <c r="Q559" s="318"/>
      <c r="R559" s="323" t="s">
        <v>481</v>
      </c>
      <c r="S559" s="323"/>
      <c r="T559" s="318"/>
    </row>
    <row r="560" spans="5:20" hidden="1" x14ac:dyDescent="0.35">
      <c r="E560" s="318"/>
      <c r="F560" s="318"/>
      <c r="G560" s="321">
        <v>44275</v>
      </c>
      <c r="H560" s="321"/>
      <c r="I560" s="321"/>
      <c r="J560" s="318"/>
      <c r="K560" s="318"/>
      <c r="L560" s="318"/>
      <c r="M560" s="318"/>
      <c r="N560" s="318"/>
      <c r="O560" s="318"/>
      <c r="P560" s="318"/>
      <c r="Q560" s="318"/>
      <c r="R560" s="323" t="s">
        <v>482</v>
      </c>
      <c r="S560" s="323"/>
      <c r="T560" s="318"/>
    </row>
    <row r="561" spans="5:20" hidden="1" x14ac:dyDescent="0.35">
      <c r="E561" s="318"/>
      <c r="F561" s="318"/>
      <c r="G561" s="321">
        <v>44276</v>
      </c>
      <c r="H561" s="321"/>
      <c r="I561" s="321"/>
      <c r="J561" s="318"/>
      <c r="K561" s="318"/>
      <c r="L561" s="318"/>
      <c r="M561" s="318"/>
      <c r="N561" s="318"/>
      <c r="O561" s="318"/>
      <c r="P561" s="318"/>
      <c r="Q561" s="318"/>
      <c r="R561" s="323" t="s">
        <v>483</v>
      </c>
      <c r="S561" s="323"/>
      <c r="T561" s="318"/>
    </row>
    <row r="562" spans="5:20" hidden="1" x14ac:dyDescent="0.35">
      <c r="E562" s="318"/>
      <c r="F562" s="318"/>
      <c r="G562" s="321">
        <v>44277</v>
      </c>
      <c r="H562" s="321"/>
      <c r="I562" s="321"/>
      <c r="J562" s="318"/>
      <c r="K562" s="318"/>
      <c r="L562" s="318"/>
      <c r="M562" s="318"/>
      <c r="N562" s="318"/>
      <c r="O562" s="318"/>
      <c r="P562" s="318"/>
      <c r="Q562" s="318"/>
      <c r="R562" s="323" t="s">
        <v>484</v>
      </c>
      <c r="S562" s="323"/>
      <c r="T562" s="318"/>
    </row>
    <row r="563" spans="5:20" hidden="1" x14ac:dyDescent="0.35">
      <c r="E563" s="318"/>
      <c r="F563" s="318"/>
      <c r="G563" s="321">
        <v>44278</v>
      </c>
      <c r="H563" s="321"/>
      <c r="I563" s="321"/>
      <c r="J563" s="318"/>
      <c r="K563" s="318"/>
      <c r="L563" s="318"/>
      <c r="M563" s="318"/>
      <c r="N563" s="318"/>
      <c r="O563" s="318"/>
      <c r="P563" s="318"/>
      <c r="Q563" s="318"/>
      <c r="R563" s="323" t="s">
        <v>485</v>
      </c>
      <c r="S563" s="323"/>
      <c r="T563" s="318"/>
    </row>
    <row r="564" spans="5:20" hidden="1" x14ac:dyDescent="0.35">
      <c r="E564" s="318"/>
      <c r="F564" s="318"/>
      <c r="G564" s="321">
        <v>44279</v>
      </c>
      <c r="H564" s="321"/>
      <c r="I564" s="321"/>
      <c r="J564" s="318"/>
      <c r="K564" s="318"/>
      <c r="L564" s="318"/>
      <c r="M564" s="318"/>
      <c r="N564" s="318"/>
      <c r="O564" s="318"/>
      <c r="P564" s="318"/>
      <c r="Q564" s="318"/>
      <c r="R564" s="323" t="s">
        <v>486</v>
      </c>
      <c r="S564" s="323"/>
      <c r="T564" s="318"/>
    </row>
    <row r="565" spans="5:20" hidden="1" x14ac:dyDescent="0.35">
      <c r="E565" s="318"/>
      <c r="F565" s="318"/>
      <c r="G565" s="321">
        <v>44280</v>
      </c>
      <c r="H565" s="321"/>
      <c r="I565" s="321"/>
      <c r="J565" s="318"/>
      <c r="K565" s="318"/>
      <c r="L565" s="318"/>
      <c r="M565" s="318"/>
      <c r="N565" s="318"/>
      <c r="O565" s="318"/>
      <c r="P565" s="318"/>
      <c r="Q565" s="318"/>
      <c r="R565" s="323" t="s">
        <v>487</v>
      </c>
      <c r="S565" s="323"/>
      <c r="T565" s="318"/>
    </row>
    <row r="566" spans="5:20" hidden="1" x14ac:dyDescent="0.35">
      <c r="E566" s="318"/>
      <c r="F566" s="318"/>
      <c r="G566" s="321">
        <v>44281</v>
      </c>
      <c r="H566" s="321"/>
      <c r="I566" s="321"/>
      <c r="J566" s="318"/>
      <c r="K566" s="318"/>
      <c r="L566" s="318"/>
      <c r="M566" s="318"/>
      <c r="N566" s="318"/>
      <c r="O566" s="318"/>
      <c r="P566" s="318"/>
      <c r="Q566" s="318"/>
      <c r="R566" s="323" t="s">
        <v>488</v>
      </c>
      <c r="S566" s="323"/>
      <c r="T566" s="318"/>
    </row>
    <row r="567" spans="5:20" hidden="1" x14ac:dyDescent="0.35">
      <c r="G567" s="321">
        <v>44282</v>
      </c>
      <c r="H567" s="321"/>
      <c r="I567" s="321"/>
      <c r="R567" s="323" t="s">
        <v>672</v>
      </c>
    </row>
    <row r="568" spans="5:20" hidden="1" x14ac:dyDescent="0.35">
      <c r="G568" s="321">
        <v>44283</v>
      </c>
      <c r="H568" s="321"/>
      <c r="I568" s="321"/>
      <c r="R568" s="323" t="s">
        <v>673</v>
      </c>
    </row>
    <row r="569" spans="5:20" hidden="1" x14ac:dyDescent="0.35">
      <c r="G569" s="321">
        <v>44284</v>
      </c>
      <c r="H569" s="321"/>
      <c r="I569" s="321"/>
      <c r="R569" s="323" t="s">
        <v>674</v>
      </c>
    </row>
    <row r="570" spans="5:20" hidden="1" x14ac:dyDescent="0.35">
      <c r="G570" s="321">
        <v>44285</v>
      </c>
      <c r="H570" s="321"/>
      <c r="I570" s="321"/>
      <c r="R570" s="323" t="s">
        <v>675</v>
      </c>
    </row>
    <row r="571" spans="5:20" hidden="1" x14ac:dyDescent="0.35">
      <c r="G571" s="321">
        <v>44286</v>
      </c>
      <c r="H571" s="321"/>
      <c r="I571" s="321"/>
      <c r="R571" s="323" t="s">
        <v>676</v>
      </c>
    </row>
    <row r="572" spans="5:20" hidden="1" x14ac:dyDescent="0.35">
      <c r="G572" s="321">
        <v>44287</v>
      </c>
      <c r="H572" s="321"/>
      <c r="I572" s="321"/>
      <c r="R572" s="323" t="s">
        <v>677</v>
      </c>
    </row>
    <row r="573" spans="5:20" hidden="1" x14ac:dyDescent="0.35">
      <c r="G573" s="321">
        <v>44288</v>
      </c>
      <c r="H573" s="321"/>
      <c r="I573" s="321"/>
      <c r="R573" s="323" t="s">
        <v>678</v>
      </c>
    </row>
    <row r="574" spans="5:20" hidden="1" x14ac:dyDescent="0.35">
      <c r="G574" s="321">
        <v>44289</v>
      </c>
      <c r="H574" s="321"/>
      <c r="I574" s="321"/>
      <c r="R574" s="323" t="s">
        <v>679</v>
      </c>
    </row>
    <row r="575" spans="5:20" hidden="1" x14ac:dyDescent="0.35">
      <c r="G575" s="321">
        <v>44290</v>
      </c>
      <c r="H575" s="321"/>
      <c r="I575" s="321"/>
      <c r="R575" s="323" t="s">
        <v>680</v>
      </c>
    </row>
    <row r="576" spans="5:20" hidden="1" x14ac:dyDescent="0.35">
      <c r="G576" s="321">
        <v>44291</v>
      </c>
      <c r="H576" s="321"/>
      <c r="I576" s="321"/>
      <c r="R576" s="323" t="s">
        <v>681</v>
      </c>
    </row>
    <row r="577" spans="7:18" hidden="1" x14ac:dyDescent="0.35">
      <c r="G577" s="321">
        <v>44292</v>
      </c>
      <c r="H577" s="321"/>
      <c r="I577" s="321"/>
      <c r="R577" s="323" t="s">
        <v>682</v>
      </c>
    </row>
    <row r="578" spans="7:18" hidden="1" x14ac:dyDescent="0.35">
      <c r="G578" s="321">
        <v>44293</v>
      </c>
      <c r="H578" s="321"/>
      <c r="I578" s="321"/>
      <c r="R578" s="323" t="s">
        <v>683</v>
      </c>
    </row>
    <row r="579" spans="7:18" hidden="1" x14ac:dyDescent="0.35">
      <c r="G579" s="321">
        <v>44294</v>
      </c>
      <c r="H579" s="321"/>
      <c r="I579" s="321"/>
      <c r="R579" s="323" t="s">
        <v>684</v>
      </c>
    </row>
    <row r="580" spans="7:18" hidden="1" x14ac:dyDescent="0.35">
      <c r="G580" s="321">
        <v>44295</v>
      </c>
      <c r="H580" s="321"/>
      <c r="I580" s="321"/>
      <c r="R580" s="323" t="s">
        <v>685</v>
      </c>
    </row>
    <row r="581" spans="7:18" hidden="1" x14ac:dyDescent="0.35">
      <c r="G581" s="321">
        <v>44296</v>
      </c>
      <c r="H581" s="321"/>
      <c r="I581" s="321"/>
      <c r="R581" s="323" t="s">
        <v>686</v>
      </c>
    </row>
    <row r="582" spans="7:18" hidden="1" x14ac:dyDescent="0.35">
      <c r="G582" s="321">
        <v>44297</v>
      </c>
      <c r="H582" s="321"/>
      <c r="I582" s="321"/>
      <c r="R582" s="323" t="s">
        <v>687</v>
      </c>
    </row>
    <row r="583" spans="7:18" hidden="1" x14ac:dyDescent="0.35">
      <c r="G583" s="321">
        <v>44298</v>
      </c>
      <c r="H583" s="321"/>
      <c r="I583" s="321"/>
      <c r="R583" s="323" t="s">
        <v>688</v>
      </c>
    </row>
    <row r="584" spans="7:18" hidden="1" x14ac:dyDescent="0.35">
      <c r="G584" s="321">
        <v>44299</v>
      </c>
      <c r="H584" s="321"/>
      <c r="I584" s="321"/>
      <c r="R584" s="323" t="s">
        <v>689</v>
      </c>
    </row>
    <row r="585" spans="7:18" hidden="1" x14ac:dyDescent="0.35">
      <c r="G585" s="321">
        <v>44300</v>
      </c>
      <c r="H585" s="321"/>
      <c r="I585" s="321"/>
      <c r="R585" s="323" t="s">
        <v>690</v>
      </c>
    </row>
    <row r="586" spans="7:18" hidden="1" x14ac:dyDescent="0.35">
      <c r="G586" s="321">
        <v>44301</v>
      </c>
      <c r="H586" s="321"/>
      <c r="I586" s="321"/>
      <c r="R586" s="323" t="s">
        <v>691</v>
      </c>
    </row>
    <row r="587" spans="7:18" hidden="1" x14ac:dyDescent="0.35">
      <c r="G587" s="321">
        <v>44302</v>
      </c>
      <c r="H587" s="321"/>
      <c r="I587" s="321"/>
      <c r="R587" s="323" t="s">
        <v>692</v>
      </c>
    </row>
    <row r="588" spans="7:18" hidden="1" x14ac:dyDescent="0.35">
      <c r="G588" s="321">
        <v>44303</v>
      </c>
      <c r="H588" s="321"/>
      <c r="I588" s="321"/>
      <c r="R588" s="323" t="s">
        <v>693</v>
      </c>
    </row>
    <row r="589" spans="7:18" hidden="1" x14ac:dyDescent="0.35">
      <c r="G589" s="321">
        <v>44304</v>
      </c>
      <c r="H589" s="321"/>
      <c r="I589" s="321"/>
      <c r="R589" s="323" t="s">
        <v>694</v>
      </c>
    </row>
    <row r="590" spans="7:18" hidden="1" x14ac:dyDescent="0.35">
      <c r="G590" s="321">
        <v>44305</v>
      </c>
      <c r="H590" s="321"/>
      <c r="I590" s="321"/>
      <c r="R590" s="323" t="s">
        <v>695</v>
      </c>
    </row>
    <row r="591" spans="7:18" hidden="1" x14ac:dyDescent="0.35">
      <c r="G591" s="321">
        <v>44306</v>
      </c>
      <c r="H591" s="321"/>
      <c r="I591" s="321"/>
      <c r="R591" s="323" t="s">
        <v>696</v>
      </c>
    </row>
    <row r="592" spans="7:18" hidden="1" x14ac:dyDescent="0.35">
      <c r="G592" s="321">
        <v>44307</v>
      </c>
      <c r="H592" s="321"/>
      <c r="I592" s="321"/>
      <c r="R592" s="323" t="s">
        <v>697</v>
      </c>
    </row>
    <row r="593" spans="7:18" hidden="1" x14ac:dyDescent="0.35">
      <c r="G593" s="321">
        <v>44308</v>
      </c>
      <c r="H593" s="321"/>
      <c r="I593" s="321"/>
      <c r="R593" s="323" t="s">
        <v>698</v>
      </c>
    </row>
    <row r="594" spans="7:18" hidden="1" x14ac:dyDescent="0.35">
      <c r="G594" s="321">
        <v>44309</v>
      </c>
      <c r="H594" s="321"/>
      <c r="I594" s="321"/>
      <c r="R594" s="323" t="s">
        <v>699</v>
      </c>
    </row>
    <row r="595" spans="7:18" hidden="1" x14ac:dyDescent="0.35">
      <c r="G595" s="321">
        <v>44310</v>
      </c>
      <c r="H595" s="321"/>
      <c r="I595" s="321"/>
      <c r="R595" s="323" t="s">
        <v>700</v>
      </c>
    </row>
    <row r="596" spans="7:18" hidden="1" x14ac:dyDescent="0.35">
      <c r="G596" s="321">
        <v>44311</v>
      </c>
      <c r="H596" s="321"/>
      <c r="I596" s="321"/>
      <c r="R596" s="323" t="s">
        <v>701</v>
      </c>
    </row>
    <row r="597" spans="7:18" hidden="1" x14ac:dyDescent="0.35">
      <c r="G597" s="321">
        <v>44312</v>
      </c>
      <c r="H597" s="321"/>
      <c r="I597" s="321"/>
      <c r="R597" s="323" t="s">
        <v>702</v>
      </c>
    </row>
    <row r="598" spans="7:18" hidden="1" x14ac:dyDescent="0.35">
      <c r="G598" s="321">
        <v>44313</v>
      </c>
      <c r="H598" s="321"/>
      <c r="I598" s="321"/>
      <c r="R598" s="323" t="s">
        <v>703</v>
      </c>
    </row>
    <row r="599" spans="7:18" hidden="1" x14ac:dyDescent="0.35">
      <c r="G599" s="321">
        <v>44314</v>
      </c>
      <c r="H599" s="321"/>
      <c r="I599" s="321"/>
      <c r="R599" s="323" t="s">
        <v>704</v>
      </c>
    </row>
    <row r="600" spans="7:18" hidden="1" x14ac:dyDescent="0.35">
      <c r="G600" s="321">
        <v>44315</v>
      </c>
      <c r="H600" s="321"/>
      <c r="I600" s="321"/>
      <c r="R600" s="323" t="s">
        <v>705</v>
      </c>
    </row>
    <row r="601" spans="7:18" hidden="1" x14ac:dyDescent="0.35">
      <c r="G601" s="321">
        <v>44316</v>
      </c>
      <c r="H601" s="321"/>
      <c r="I601" s="321"/>
      <c r="R601" s="323" t="s">
        <v>706</v>
      </c>
    </row>
    <row r="602" spans="7:18" hidden="1" x14ac:dyDescent="0.35">
      <c r="G602" s="321">
        <v>44317</v>
      </c>
      <c r="H602" s="321"/>
      <c r="I602" s="321"/>
      <c r="R602" s="323" t="s">
        <v>707</v>
      </c>
    </row>
    <row r="603" spans="7:18" hidden="1" x14ac:dyDescent="0.35">
      <c r="G603" s="321">
        <v>44318</v>
      </c>
      <c r="H603" s="321"/>
      <c r="I603" s="321"/>
      <c r="R603" s="323" t="s">
        <v>708</v>
      </c>
    </row>
    <row r="604" spans="7:18" hidden="1" x14ac:dyDescent="0.35">
      <c r="G604" s="321">
        <v>44319</v>
      </c>
      <c r="H604" s="321"/>
      <c r="I604" s="321"/>
      <c r="R604" s="323" t="s">
        <v>709</v>
      </c>
    </row>
    <row r="605" spans="7:18" hidden="1" x14ac:dyDescent="0.35">
      <c r="G605" s="321">
        <v>44320</v>
      </c>
      <c r="H605" s="321"/>
      <c r="I605" s="321"/>
      <c r="R605" s="323" t="s">
        <v>710</v>
      </c>
    </row>
    <row r="606" spans="7:18" hidden="1" x14ac:dyDescent="0.35">
      <c r="G606" s="321">
        <v>44321</v>
      </c>
      <c r="H606" s="321"/>
      <c r="I606" s="321"/>
      <c r="R606" s="323" t="s">
        <v>711</v>
      </c>
    </row>
    <row r="607" spans="7:18" hidden="1" x14ac:dyDescent="0.35">
      <c r="G607" s="321">
        <v>44322</v>
      </c>
      <c r="H607" s="321"/>
      <c r="I607" s="321"/>
      <c r="R607" s="323" t="s">
        <v>712</v>
      </c>
    </row>
    <row r="608" spans="7:18" hidden="1" x14ac:dyDescent="0.35">
      <c r="G608" s="321">
        <v>44323</v>
      </c>
      <c r="H608" s="321"/>
      <c r="I608" s="321"/>
      <c r="R608" s="323" t="s">
        <v>713</v>
      </c>
    </row>
    <row r="609" spans="7:18" hidden="1" x14ac:dyDescent="0.35">
      <c r="G609" s="321">
        <v>44324</v>
      </c>
      <c r="H609" s="321"/>
      <c r="I609" s="321"/>
      <c r="R609" s="323" t="s">
        <v>714</v>
      </c>
    </row>
    <row r="610" spans="7:18" hidden="1" x14ac:dyDescent="0.35">
      <c r="G610" s="321">
        <v>44325</v>
      </c>
      <c r="H610" s="321"/>
      <c r="I610" s="321"/>
      <c r="R610" s="323" t="s">
        <v>715</v>
      </c>
    </row>
    <row r="611" spans="7:18" hidden="1" x14ac:dyDescent="0.35">
      <c r="G611" s="321">
        <v>44326</v>
      </c>
      <c r="H611" s="321"/>
      <c r="I611" s="321"/>
      <c r="R611" s="323" t="s">
        <v>716</v>
      </c>
    </row>
    <row r="612" spans="7:18" hidden="1" x14ac:dyDescent="0.35">
      <c r="G612" s="321">
        <v>44327</v>
      </c>
      <c r="H612" s="321"/>
      <c r="I612" s="321"/>
      <c r="R612" s="323" t="s">
        <v>717</v>
      </c>
    </row>
    <row r="613" spans="7:18" hidden="1" x14ac:dyDescent="0.35">
      <c r="G613" s="321">
        <v>44328</v>
      </c>
      <c r="H613" s="321"/>
      <c r="I613" s="321"/>
      <c r="R613" s="323" t="s">
        <v>718</v>
      </c>
    </row>
    <row r="614" spans="7:18" hidden="1" x14ac:dyDescent="0.35">
      <c r="G614" s="321">
        <v>44329</v>
      </c>
      <c r="H614" s="321"/>
      <c r="I614" s="321"/>
      <c r="R614" s="323" t="s">
        <v>719</v>
      </c>
    </row>
    <row r="615" spans="7:18" hidden="1" x14ac:dyDescent="0.35">
      <c r="G615" s="321">
        <v>44330</v>
      </c>
      <c r="H615" s="321"/>
      <c r="I615" s="321"/>
      <c r="R615" s="323" t="s">
        <v>720</v>
      </c>
    </row>
    <row r="616" spans="7:18" hidden="1" x14ac:dyDescent="0.35">
      <c r="G616" s="321">
        <v>44331</v>
      </c>
      <c r="H616" s="321"/>
      <c r="I616" s="321"/>
      <c r="R616" s="323" t="s">
        <v>721</v>
      </c>
    </row>
    <row r="617" spans="7:18" hidden="1" x14ac:dyDescent="0.35">
      <c r="G617" s="321">
        <v>44332</v>
      </c>
      <c r="H617" s="321"/>
      <c r="I617" s="321"/>
      <c r="R617" s="323" t="s">
        <v>722</v>
      </c>
    </row>
    <row r="618" spans="7:18" hidden="1" x14ac:dyDescent="0.35">
      <c r="G618" s="321">
        <v>44333</v>
      </c>
      <c r="H618" s="321"/>
      <c r="I618" s="321"/>
      <c r="R618" s="323" t="s">
        <v>723</v>
      </c>
    </row>
    <row r="619" spans="7:18" hidden="1" x14ac:dyDescent="0.35">
      <c r="G619" s="321">
        <v>44334</v>
      </c>
      <c r="H619" s="321"/>
      <c r="I619" s="321"/>
      <c r="R619" s="323" t="s">
        <v>724</v>
      </c>
    </row>
    <row r="620" spans="7:18" hidden="1" x14ac:dyDescent="0.35">
      <c r="G620" s="321">
        <v>44335</v>
      </c>
      <c r="H620" s="321"/>
      <c r="I620" s="321"/>
      <c r="R620" s="323" t="s">
        <v>725</v>
      </c>
    </row>
    <row r="621" spans="7:18" hidden="1" x14ac:dyDescent="0.35">
      <c r="G621" s="321">
        <v>44336</v>
      </c>
      <c r="H621" s="321"/>
      <c r="I621" s="321"/>
      <c r="R621" s="323" t="s">
        <v>726</v>
      </c>
    </row>
    <row r="622" spans="7:18" hidden="1" x14ac:dyDescent="0.35">
      <c r="G622" s="321">
        <v>44337</v>
      </c>
      <c r="H622" s="321"/>
      <c r="I622" s="321"/>
      <c r="R622" s="323" t="s">
        <v>727</v>
      </c>
    </row>
    <row r="623" spans="7:18" hidden="1" x14ac:dyDescent="0.35">
      <c r="G623" s="321">
        <v>44338</v>
      </c>
      <c r="H623" s="321"/>
      <c r="I623" s="321"/>
      <c r="R623" s="323" t="s">
        <v>728</v>
      </c>
    </row>
    <row r="624" spans="7:18" hidden="1" x14ac:dyDescent="0.35">
      <c r="G624" s="321">
        <v>44339</v>
      </c>
      <c r="H624" s="321"/>
      <c r="I624" s="321"/>
      <c r="R624" s="323" t="s">
        <v>729</v>
      </c>
    </row>
    <row r="625" spans="7:18" hidden="1" x14ac:dyDescent="0.35">
      <c r="G625" s="321">
        <v>44340</v>
      </c>
      <c r="H625" s="321"/>
      <c r="I625" s="321"/>
      <c r="R625" s="323" t="s">
        <v>730</v>
      </c>
    </row>
    <row r="626" spans="7:18" hidden="1" x14ac:dyDescent="0.35">
      <c r="G626" s="321">
        <v>44341</v>
      </c>
      <c r="H626" s="321"/>
      <c r="I626" s="321"/>
      <c r="R626" s="323" t="s">
        <v>731</v>
      </c>
    </row>
    <row r="627" spans="7:18" hidden="1" x14ac:dyDescent="0.35">
      <c r="G627" s="321">
        <v>44342</v>
      </c>
      <c r="H627" s="321"/>
      <c r="I627" s="321"/>
      <c r="R627" s="323" t="s">
        <v>732</v>
      </c>
    </row>
    <row r="628" spans="7:18" hidden="1" x14ac:dyDescent="0.35">
      <c r="G628" s="321">
        <v>44343</v>
      </c>
      <c r="H628" s="321"/>
      <c r="I628" s="321"/>
      <c r="R628" s="323" t="s">
        <v>733</v>
      </c>
    </row>
    <row r="629" spans="7:18" hidden="1" x14ac:dyDescent="0.35">
      <c r="G629" s="321">
        <v>44344</v>
      </c>
      <c r="H629" s="321"/>
      <c r="I629" s="321"/>
      <c r="R629" s="323" t="s">
        <v>734</v>
      </c>
    </row>
    <row r="630" spans="7:18" hidden="1" x14ac:dyDescent="0.35">
      <c r="G630" s="321">
        <v>44345</v>
      </c>
      <c r="H630" s="321"/>
      <c r="I630" s="321"/>
      <c r="R630" s="323" t="s">
        <v>735</v>
      </c>
    </row>
    <row r="631" spans="7:18" hidden="1" x14ac:dyDescent="0.35">
      <c r="G631" s="321">
        <v>44346</v>
      </c>
      <c r="H631" s="321"/>
      <c r="I631" s="321"/>
      <c r="R631" s="323" t="s">
        <v>736</v>
      </c>
    </row>
    <row r="632" spans="7:18" hidden="1" x14ac:dyDescent="0.35">
      <c r="G632" s="321">
        <v>44347</v>
      </c>
      <c r="H632" s="321"/>
      <c r="I632" s="321"/>
      <c r="R632" s="323" t="s">
        <v>737</v>
      </c>
    </row>
    <row r="633" spans="7:18" hidden="1" x14ac:dyDescent="0.35">
      <c r="G633" s="321">
        <v>44348</v>
      </c>
      <c r="H633" s="321"/>
      <c r="I633" s="321"/>
      <c r="R633" s="323" t="s">
        <v>738</v>
      </c>
    </row>
    <row r="634" spans="7:18" hidden="1" x14ac:dyDescent="0.35">
      <c r="G634" s="321">
        <v>44349</v>
      </c>
      <c r="H634" s="321"/>
      <c r="I634" s="321"/>
      <c r="R634" s="323" t="s">
        <v>739</v>
      </c>
    </row>
    <row r="635" spans="7:18" hidden="1" x14ac:dyDescent="0.35">
      <c r="G635" s="321">
        <v>44350</v>
      </c>
      <c r="H635" s="321"/>
      <c r="I635" s="321"/>
      <c r="R635" s="323" t="s">
        <v>740</v>
      </c>
    </row>
    <row r="636" spans="7:18" hidden="1" x14ac:dyDescent="0.35">
      <c r="G636" s="321">
        <v>44351</v>
      </c>
      <c r="H636" s="321"/>
      <c r="I636" s="321"/>
      <c r="R636" s="323" t="s">
        <v>741</v>
      </c>
    </row>
    <row r="637" spans="7:18" hidden="1" x14ac:dyDescent="0.35">
      <c r="G637" s="321">
        <v>44352</v>
      </c>
      <c r="H637" s="321"/>
      <c r="I637" s="321"/>
      <c r="R637" s="323" t="s">
        <v>742</v>
      </c>
    </row>
    <row r="638" spans="7:18" hidden="1" x14ac:dyDescent="0.35">
      <c r="G638" s="321">
        <v>44353</v>
      </c>
      <c r="H638" s="321"/>
      <c r="I638" s="321"/>
      <c r="R638" s="323" t="s">
        <v>743</v>
      </c>
    </row>
    <row r="639" spans="7:18" hidden="1" x14ac:dyDescent="0.35">
      <c r="G639" s="321">
        <v>44354</v>
      </c>
      <c r="H639" s="321"/>
      <c r="I639" s="321"/>
      <c r="R639" s="323" t="s">
        <v>744</v>
      </c>
    </row>
    <row r="640" spans="7:18" hidden="1" x14ac:dyDescent="0.35">
      <c r="G640" s="321">
        <v>44355</v>
      </c>
      <c r="H640" s="321"/>
      <c r="I640" s="321"/>
      <c r="R640" s="323" t="s">
        <v>745</v>
      </c>
    </row>
    <row r="641" spans="7:18" hidden="1" x14ac:dyDescent="0.35">
      <c r="G641" s="321">
        <v>44356</v>
      </c>
      <c r="H641" s="321"/>
      <c r="I641" s="321"/>
      <c r="R641" s="323" t="s">
        <v>746</v>
      </c>
    </row>
    <row r="642" spans="7:18" hidden="1" x14ac:dyDescent="0.35">
      <c r="G642" s="321">
        <v>44357</v>
      </c>
      <c r="H642" s="321"/>
      <c r="I642" s="321"/>
      <c r="R642" s="323" t="s">
        <v>747</v>
      </c>
    </row>
    <row r="643" spans="7:18" hidden="1" x14ac:dyDescent="0.35">
      <c r="G643" s="321">
        <v>44358</v>
      </c>
      <c r="H643" s="321"/>
      <c r="I643" s="321"/>
      <c r="R643" s="323" t="s">
        <v>748</v>
      </c>
    </row>
    <row r="644" spans="7:18" hidden="1" x14ac:dyDescent="0.35">
      <c r="G644" s="321">
        <v>44359</v>
      </c>
      <c r="H644" s="321"/>
      <c r="I644" s="321"/>
      <c r="R644" s="323" t="s">
        <v>749</v>
      </c>
    </row>
    <row r="645" spans="7:18" hidden="1" x14ac:dyDescent="0.35">
      <c r="G645" s="321">
        <v>44360</v>
      </c>
      <c r="H645" s="321"/>
      <c r="I645" s="321"/>
      <c r="R645" s="323" t="s">
        <v>750</v>
      </c>
    </row>
    <row r="646" spans="7:18" hidden="1" x14ac:dyDescent="0.35">
      <c r="G646" s="321">
        <v>44361</v>
      </c>
      <c r="H646" s="321"/>
      <c r="I646" s="321"/>
      <c r="R646" s="323" t="s">
        <v>751</v>
      </c>
    </row>
    <row r="647" spans="7:18" hidden="1" x14ac:dyDescent="0.35">
      <c r="G647" s="321">
        <v>44362</v>
      </c>
      <c r="H647" s="321"/>
      <c r="I647" s="321"/>
      <c r="R647" s="323" t="s">
        <v>752</v>
      </c>
    </row>
    <row r="648" spans="7:18" hidden="1" x14ac:dyDescent="0.35">
      <c r="G648" s="321">
        <v>44363</v>
      </c>
      <c r="H648" s="321"/>
      <c r="I648" s="321"/>
      <c r="R648" s="323" t="s">
        <v>753</v>
      </c>
    </row>
    <row r="649" spans="7:18" hidden="1" x14ac:dyDescent="0.35">
      <c r="G649" s="321">
        <v>44364</v>
      </c>
      <c r="H649" s="321"/>
      <c r="I649" s="321"/>
      <c r="R649" s="323" t="s">
        <v>754</v>
      </c>
    </row>
    <row r="650" spans="7:18" hidden="1" x14ac:dyDescent="0.35">
      <c r="G650" s="321">
        <v>44365</v>
      </c>
      <c r="H650" s="321"/>
      <c r="I650" s="321"/>
      <c r="R650" s="323" t="s">
        <v>755</v>
      </c>
    </row>
    <row r="651" spans="7:18" hidden="1" x14ac:dyDescent="0.35">
      <c r="G651" s="321">
        <v>44366</v>
      </c>
      <c r="H651" s="321"/>
      <c r="I651" s="321"/>
      <c r="R651" s="323" t="s">
        <v>756</v>
      </c>
    </row>
    <row r="652" spans="7:18" hidden="1" x14ac:dyDescent="0.35">
      <c r="G652" s="321">
        <v>44367</v>
      </c>
      <c r="H652" s="321"/>
      <c r="I652" s="321"/>
      <c r="R652" s="323" t="s">
        <v>757</v>
      </c>
    </row>
    <row r="653" spans="7:18" hidden="1" x14ac:dyDescent="0.35">
      <c r="G653" s="321">
        <v>44368</v>
      </c>
      <c r="H653" s="321"/>
      <c r="I653" s="321"/>
      <c r="R653" s="323" t="s">
        <v>758</v>
      </c>
    </row>
    <row r="654" spans="7:18" hidden="1" x14ac:dyDescent="0.35">
      <c r="G654" s="321">
        <v>44369</v>
      </c>
      <c r="H654" s="321"/>
      <c r="I654" s="321"/>
      <c r="R654" s="323" t="s">
        <v>759</v>
      </c>
    </row>
    <row r="655" spans="7:18" hidden="1" x14ac:dyDescent="0.35">
      <c r="G655" s="321">
        <v>44370</v>
      </c>
      <c r="H655" s="321"/>
      <c r="I655" s="321"/>
      <c r="R655" s="323" t="s">
        <v>760</v>
      </c>
    </row>
    <row r="656" spans="7:18" hidden="1" x14ac:dyDescent="0.35">
      <c r="G656" s="321">
        <v>44371</v>
      </c>
      <c r="H656" s="321"/>
      <c r="I656" s="321"/>
      <c r="R656" s="323" t="s">
        <v>761</v>
      </c>
    </row>
    <row r="657" spans="7:18" hidden="1" x14ac:dyDescent="0.35">
      <c r="G657" s="321">
        <v>44372</v>
      </c>
      <c r="H657" s="321"/>
      <c r="I657" s="321"/>
      <c r="R657" s="323" t="s">
        <v>762</v>
      </c>
    </row>
    <row r="658" spans="7:18" hidden="1" x14ac:dyDescent="0.35">
      <c r="G658" s="321">
        <v>44373</v>
      </c>
      <c r="H658" s="321"/>
      <c r="I658" s="321"/>
      <c r="R658" s="323" t="s">
        <v>763</v>
      </c>
    </row>
    <row r="659" spans="7:18" hidden="1" x14ac:dyDescent="0.35">
      <c r="G659" s="321">
        <v>44374</v>
      </c>
      <c r="H659" s="321"/>
      <c r="I659" s="321"/>
      <c r="R659" s="323" t="s">
        <v>764</v>
      </c>
    </row>
    <row r="660" spans="7:18" hidden="1" x14ac:dyDescent="0.35">
      <c r="G660" s="321">
        <v>44375</v>
      </c>
      <c r="H660" s="321"/>
      <c r="I660" s="321"/>
      <c r="R660" s="323" t="s">
        <v>765</v>
      </c>
    </row>
    <row r="661" spans="7:18" hidden="1" x14ac:dyDescent="0.35">
      <c r="G661" s="321">
        <v>44376</v>
      </c>
      <c r="H661" s="321"/>
      <c r="I661" s="321"/>
      <c r="R661" s="323" t="s">
        <v>766</v>
      </c>
    </row>
    <row r="662" spans="7:18" hidden="1" x14ac:dyDescent="0.35">
      <c r="G662" s="321">
        <v>44377</v>
      </c>
      <c r="H662" s="321"/>
      <c r="I662" s="321"/>
      <c r="R662" s="323" t="s">
        <v>767</v>
      </c>
    </row>
    <row r="663" spans="7:18" hidden="1" x14ac:dyDescent="0.35">
      <c r="G663" s="321">
        <v>44378</v>
      </c>
      <c r="H663" s="321"/>
      <c r="I663" s="321"/>
      <c r="R663" s="323" t="s">
        <v>768</v>
      </c>
    </row>
    <row r="664" spans="7:18" hidden="1" x14ac:dyDescent="0.35">
      <c r="G664" s="321">
        <v>44379</v>
      </c>
      <c r="H664" s="321"/>
      <c r="I664" s="321"/>
      <c r="R664" s="323" t="s">
        <v>769</v>
      </c>
    </row>
    <row r="665" spans="7:18" hidden="1" x14ac:dyDescent="0.35">
      <c r="G665" s="321">
        <v>44380</v>
      </c>
      <c r="H665" s="321"/>
      <c r="I665" s="321"/>
      <c r="R665" s="323" t="s">
        <v>770</v>
      </c>
    </row>
    <row r="666" spans="7:18" hidden="1" x14ac:dyDescent="0.35">
      <c r="G666" s="321">
        <v>44381</v>
      </c>
      <c r="H666" s="321"/>
      <c r="I666" s="321"/>
      <c r="R666" s="323" t="s">
        <v>771</v>
      </c>
    </row>
    <row r="667" spans="7:18" hidden="1" x14ac:dyDescent="0.35">
      <c r="G667" s="321">
        <v>44382</v>
      </c>
      <c r="H667" s="321"/>
      <c r="I667" s="321"/>
      <c r="R667" s="323" t="s">
        <v>772</v>
      </c>
    </row>
    <row r="668" spans="7:18" hidden="1" x14ac:dyDescent="0.35">
      <c r="G668" s="321">
        <v>44383</v>
      </c>
      <c r="H668" s="321"/>
      <c r="I668" s="321"/>
      <c r="R668" s="323" t="s">
        <v>773</v>
      </c>
    </row>
    <row r="669" spans="7:18" hidden="1" x14ac:dyDescent="0.35">
      <c r="G669" s="321">
        <v>44384</v>
      </c>
      <c r="H669" s="321"/>
      <c r="I669" s="321"/>
      <c r="R669" s="323" t="s">
        <v>774</v>
      </c>
    </row>
    <row r="670" spans="7:18" hidden="1" x14ac:dyDescent="0.35">
      <c r="G670" s="321">
        <v>44385</v>
      </c>
      <c r="H670" s="321"/>
      <c r="I670" s="321"/>
      <c r="R670" s="323" t="s">
        <v>775</v>
      </c>
    </row>
    <row r="671" spans="7:18" hidden="1" x14ac:dyDescent="0.35">
      <c r="G671" s="321">
        <v>44386</v>
      </c>
      <c r="H671" s="321"/>
      <c r="I671" s="321"/>
      <c r="R671" s="323" t="s">
        <v>776</v>
      </c>
    </row>
    <row r="672" spans="7:18" hidden="1" x14ac:dyDescent="0.35">
      <c r="G672" s="321">
        <v>44387</v>
      </c>
      <c r="H672" s="321"/>
      <c r="I672" s="321"/>
      <c r="R672" s="323" t="s">
        <v>777</v>
      </c>
    </row>
    <row r="673" spans="7:18" hidden="1" x14ac:dyDescent="0.35">
      <c r="G673" s="321">
        <v>44388</v>
      </c>
      <c r="H673" s="321"/>
      <c r="I673" s="321"/>
      <c r="R673" s="323" t="s">
        <v>778</v>
      </c>
    </row>
    <row r="674" spans="7:18" hidden="1" x14ac:dyDescent="0.35">
      <c r="G674" s="321">
        <v>44389</v>
      </c>
      <c r="H674" s="321"/>
      <c r="I674" s="321"/>
      <c r="R674" s="323" t="s">
        <v>779</v>
      </c>
    </row>
    <row r="675" spans="7:18" hidden="1" x14ac:dyDescent="0.35">
      <c r="G675" s="321">
        <v>44390</v>
      </c>
      <c r="H675" s="321"/>
      <c r="I675" s="321"/>
      <c r="R675" s="323" t="s">
        <v>780</v>
      </c>
    </row>
    <row r="676" spans="7:18" hidden="1" x14ac:dyDescent="0.35">
      <c r="G676" s="321">
        <v>44391</v>
      </c>
      <c r="H676" s="321"/>
      <c r="I676" s="321"/>
      <c r="R676" s="323" t="s">
        <v>781</v>
      </c>
    </row>
    <row r="677" spans="7:18" hidden="1" x14ac:dyDescent="0.35">
      <c r="G677" s="321">
        <v>44392</v>
      </c>
      <c r="H677" s="321"/>
      <c r="I677" s="321"/>
      <c r="R677" s="323" t="s">
        <v>782</v>
      </c>
    </row>
    <row r="678" spans="7:18" hidden="1" x14ac:dyDescent="0.35">
      <c r="G678" s="321">
        <v>44393</v>
      </c>
      <c r="H678" s="321"/>
      <c r="I678" s="321"/>
      <c r="R678" s="323" t="s">
        <v>783</v>
      </c>
    </row>
    <row r="679" spans="7:18" hidden="1" x14ac:dyDescent="0.35">
      <c r="G679" s="321">
        <v>44394</v>
      </c>
      <c r="H679" s="321"/>
      <c r="I679" s="321"/>
      <c r="R679" s="323" t="s">
        <v>784</v>
      </c>
    </row>
    <row r="680" spans="7:18" hidden="1" x14ac:dyDescent="0.35">
      <c r="G680" s="321">
        <v>44395</v>
      </c>
      <c r="H680" s="321"/>
      <c r="I680" s="321"/>
      <c r="R680" s="323" t="s">
        <v>785</v>
      </c>
    </row>
    <row r="681" spans="7:18" hidden="1" x14ac:dyDescent="0.35">
      <c r="G681" s="321">
        <v>44396</v>
      </c>
      <c r="H681" s="321"/>
      <c r="I681" s="321"/>
      <c r="R681" s="323" t="s">
        <v>786</v>
      </c>
    </row>
    <row r="682" spans="7:18" hidden="1" x14ac:dyDescent="0.35">
      <c r="G682" s="321">
        <v>44397</v>
      </c>
      <c r="H682" s="321"/>
      <c r="I682" s="321"/>
      <c r="R682" s="323" t="s">
        <v>787</v>
      </c>
    </row>
    <row r="683" spans="7:18" hidden="1" x14ac:dyDescent="0.35">
      <c r="G683" s="321">
        <v>44398</v>
      </c>
      <c r="H683" s="321"/>
      <c r="I683" s="321"/>
      <c r="R683" s="323" t="s">
        <v>788</v>
      </c>
    </row>
    <row r="684" spans="7:18" hidden="1" x14ac:dyDescent="0.35">
      <c r="G684" s="321">
        <v>44399</v>
      </c>
      <c r="H684" s="321"/>
      <c r="I684" s="321"/>
      <c r="R684" s="323" t="s">
        <v>789</v>
      </c>
    </row>
    <row r="685" spans="7:18" hidden="1" x14ac:dyDescent="0.35">
      <c r="G685" s="321">
        <v>44400</v>
      </c>
      <c r="H685" s="321"/>
      <c r="I685" s="321"/>
      <c r="R685" s="323" t="s">
        <v>790</v>
      </c>
    </row>
    <row r="686" spans="7:18" hidden="1" x14ac:dyDescent="0.35">
      <c r="G686" s="321">
        <v>44401</v>
      </c>
      <c r="H686" s="321"/>
      <c r="I686" s="321"/>
      <c r="R686" s="323" t="s">
        <v>791</v>
      </c>
    </row>
    <row r="687" spans="7:18" hidden="1" x14ac:dyDescent="0.35">
      <c r="G687" s="321">
        <v>44402</v>
      </c>
      <c r="H687" s="321"/>
      <c r="I687" s="321"/>
      <c r="R687" s="323" t="s">
        <v>792</v>
      </c>
    </row>
    <row r="688" spans="7:18" hidden="1" x14ac:dyDescent="0.35">
      <c r="G688" s="321">
        <v>44403</v>
      </c>
      <c r="H688" s="321"/>
      <c r="I688" s="321"/>
      <c r="R688" s="323" t="s">
        <v>793</v>
      </c>
    </row>
    <row r="689" spans="7:18" hidden="1" x14ac:dyDescent="0.35">
      <c r="G689" s="321">
        <v>44404</v>
      </c>
      <c r="H689" s="321"/>
      <c r="I689" s="321"/>
      <c r="R689" s="323" t="s">
        <v>794</v>
      </c>
    </row>
    <row r="690" spans="7:18" hidden="1" x14ac:dyDescent="0.35">
      <c r="G690" s="321">
        <v>44405</v>
      </c>
      <c r="H690" s="321"/>
      <c r="I690" s="321"/>
      <c r="R690" s="323" t="s">
        <v>795</v>
      </c>
    </row>
    <row r="691" spans="7:18" hidden="1" x14ac:dyDescent="0.35">
      <c r="G691" s="321">
        <v>44406</v>
      </c>
      <c r="H691" s="321"/>
      <c r="I691" s="321"/>
      <c r="R691" s="323" t="s">
        <v>796</v>
      </c>
    </row>
    <row r="692" spans="7:18" hidden="1" x14ac:dyDescent="0.35">
      <c r="G692" s="321">
        <v>44407</v>
      </c>
      <c r="H692" s="321"/>
      <c r="I692" s="321"/>
      <c r="R692" s="323" t="s">
        <v>797</v>
      </c>
    </row>
    <row r="693" spans="7:18" hidden="1" x14ac:dyDescent="0.35">
      <c r="G693" s="321">
        <v>44408</v>
      </c>
      <c r="H693" s="321"/>
      <c r="I693" s="321"/>
      <c r="R693" s="323" t="s">
        <v>798</v>
      </c>
    </row>
    <row r="694" spans="7:18" hidden="1" x14ac:dyDescent="0.35">
      <c r="G694" s="321">
        <v>44409</v>
      </c>
      <c r="H694" s="321"/>
      <c r="I694" s="321"/>
      <c r="R694" s="323" t="s">
        <v>799</v>
      </c>
    </row>
    <row r="695" spans="7:18" hidden="1" x14ac:dyDescent="0.35">
      <c r="G695" s="321">
        <v>44410</v>
      </c>
      <c r="H695" s="321"/>
      <c r="I695" s="321"/>
      <c r="R695" s="323" t="s">
        <v>800</v>
      </c>
    </row>
    <row r="696" spans="7:18" hidden="1" x14ac:dyDescent="0.35">
      <c r="G696" s="321">
        <v>44411</v>
      </c>
      <c r="H696" s="321"/>
      <c r="I696" s="321"/>
      <c r="R696" s="323" t="s">
        <v>801</v>
      </c>
    </row>
    <row r="697" spans="7:18" hidden="1" x14ac:dyDescent="0.35">
      <c r="G697" s="321">
        <v>44412</v>
      </c>
      <c r="H697" s="321"/>
      <c r="I697" s="321"/>
      <c r="R697" s="323" t="s">
        <v>802</v>
      </c>
    </row>
    <row r="698" spans="7:18" hidden="1" x14ac:dyDescent="0.35">
      <c r="G698" s="321">
        <v>44413</v>
      </c>
      <c r="H698" s="321"/>
      <c r="I698" s="321"/>
      <c r="R698" s="323" t="s">
        <v>803</v>
      </c>
    </row>
    <row r="699" spans="7:18" hidden="1" x14ac:dyDescent="0.35">
      <c r="G699" s="321">
        <v>44414</v>
      </c>
      <c r="H699" s="321"/>
      <c r="I699" s="321"/>
      <c r="R699" s="323" t="s">
        <v>804</v>
      </c>
    </row>
    <row r="700" spans="7:18" hidden="1" x14ac:dyDescent="0.35">
      <c r="G700" s="321">
        <v>44415</v>
      </c>
      <c r="H700" s="321"/>
      <c r="I700" s="321"/>
      <c r="R700" s="323" t="s">
        <v>805</v>
      </c>
    </row>
    <row r="701" spans="7:18" hidden="1" x14ac:dyDescent="0.35">
      <c r="G701" s="321">
        <v>44416</v>
      </c>
      <c r="H701" s="321"/>
      <c r="I701" s="321"/>
      <c r="R701" s="323" t="s">
        <v>806</v>
      </c>
    </row>
    <row r="702" spans="7:18" hidden="1" x14ac:dyDescent="0.35">
      <c r="G702" s="321">
        <v>44417</v>
      </c>
      <c r="H702" s="321"/>
      <c r="I702" s="321"/>
      <c r="R702" s="323" t="s">
        <v>807</v>
      </c>
    </row>
    <row r="703" spans="7:18" hidden="1" x14ac:dyDescent="0.35">
      <c r="G703" s="321">
        <v>44418</v>
      </c>
      <c r="H703" s="321"/>
      <c r="I703" s="321"/>
      <c r="R703" s="323" t="s">
        <v>808</v>
      </c>
    </row>
    <row r="704" spans="7:18" hidden="1" x14ac:dyDescent="0.35">
      <c r="G704" s="321">
        <v>44419</v>
      </c>
      <c r="H704" s="321"/>
      <c r="I704" s="321"/>
      <c r="R704" s="323" t="s">
        <v>809</v>
      </c>
    </row>
    <row r="705" spans="7:18" hidden="1" x14ac:dyDescent="0.35">
      <c r="G705" s="321">
        <v>44420</v>
      </c>
      <c r="H705" s="321"/>
      <c r="I705" s="321"/>
      <c r="R705" s="323" t="s">
        <v>810</v>
      </c>
    </row>
    <row r="706" spans="7:18" hidden="1" x14ac:dyDescent="0.35">
      <c r="G706" s="321">
        <v>44421</v>
      </c>
      <c r="H706" s="321"/>
      <c r="I706" s="321"/>
      <c r="R706" s="323" t="s">
        <v>811</v>
      </c>
    </row>
    <row r="707" spans="7:18" hidden="1" x14ac:dyDescent="0.35">
      <c r="G707" s="321">
        <v>44422</v>
      </c>
      <c r="H707" s="321"/>
      <c r="I707" s="321"/>
      <c r="R707" s="323" t="s">
        <v>812</v>
      </c>
    </row>
    <row r="708" spans="7:18" hidden="1" x14ac:dyDescent="0.35">
      <c r="G708" s="321">
        <v>44423</v>
      </c>
      <c r="H708" s="321"/>
      <c r="I708" s="321"/>
      <c r="R708" s="323" t="s">
        <v>813</v>
      </c>
    </row>
    <row r="709" spans="7:18" hidden="1" x14ac:dyDescent="0.35">
      <c r="G709" s="321">
        <v>44424</v>
      </c>
      <c r="H709" s="321"/>
      <c r="I709" s="321"/>
      <c r="R709" s="323" t="s">
        <v>814</v>
      </c>
    </row>
    <row r="710" spans="7:18" hidden="1" x14ac:dyDescent="0.35">
      <c r="G710" s="321">
        <v>44425</v>
      </c>
      <c r="H710" s="321"/>
      <c r="I710" s="321"/>
      <c r="R710" s="323" t="s">
        <v>815</v>
      </c>
    </row>
    <row r="711" spans="7:18" hidden="1" x14ac:dyDescent="0.35">
      <c r="G711" s="321">
        <v>44426</v>
      </c>
      <c r="H711" s="321"/>
      <c r="I711" s="321"/>
      <c r="R711" s="323" t="s">
        <v>816</v>
      </c>
    </row>
    <row r="712" spans="7:18" hidden="1" x14ac:dyDescent="0.35">
      <c r="G712" s="321">
        <v>44427</v>
      </c>
      <c r="H712" s="321"/>
      <c r="I712" s="321"/>
      <c r="R712" s="323" t="s">
        <v>817</v>
      </c>
    </row>
    <row r="713" spans="7:18" hidden="1" x14ac:dyDescent="0.35">
      <c r="G713" s="321">
        <v>44428</v>
      </c>
      <c r="H713" s="321"/>
      <c r="I713" s="321"/>
      <c r="R713" s="323" t="s">
        <v>818</v>
      </c>
    </row>
    <row r="714" spans="7:18" hidden="1" x14ac:dyDescent="0.35">
      <c r="G714" s="321">
        <v>44429</v>
      </c>
      <c r="H714" s="321"/>
      <c r="I714" s="321"/>
      <c r="R714" s="323" t="s">
        <v>819</v>
      </c>
    </row>
    <row r="715" spans="7:18" hidden="1" x14ac:dyDescent="0.35">
      <c r="G715" s="321">
        <v>44430</v>
      </c>
      <c r="H715" s="321"/>
      <c r="I715" s="321"/>
      <c r="R715" s="323" t="s">
        <v>820</v>
      </c>
    </row>
    <row r="716" spans="7:18" hidden="1" x14ac:dyDescent="0.35">
      <c r="G716" s="321">
        <v>44431</v>
      </c>
      <c r="H716" s="321"/>
      <c r="I716" s="321"/>
      <c r="R716" s="323" t="s">
        <v>821</v>
      </c>
    </row>
    <row r="717" spans="7:18" hidden="1" x14ac:dyDescent="0.35">
      <c r="G717" s="321">
        <v>44432</v>
      </c>
      <c r="H717" s="321"/>
      <c r="I717" s="321"/>
      <c r="R717" s="323" t="s">
        <v>822</v>
      </c>
    </row>
    <row r="718" spans="7:18" hidden="1" x14ac:dyDescent="0.35">
      <c r="G718" s="321">
        <v>44433</v>
      </c>
      <c r="H718" s="321"/>
      <c r="I718" s="321"/>
      <c r="R718" s="323" t="s">
        <v>823</v>
      </c>
    </row>
    <row r="719" spans="7:18" hidden="1" x14ac:dyDescent="0.35">
      <c r="G719" s="321">
        <v>44434</v>
      </c>
      <c r="H719" s="321"/>
      <c r="I719" s="321"/>
      <c r="R719" s="323" t="s">
        <v>824</v>
      </c>
    </row>
    <row r="720" spans="7:18" hidden="1" x14ac:dyDescent="0.35">
      <c r="G720" s="321">
        <v>44435</v>
      </c>
      <c r="H720" s="321"/>
      <c r="I720" s="321"/>
      <c r="R720" s="323" t="s">
        <v>825</v>
      </c>
    </row>
    <row r="721" spans="7:18" hidden="1" x14ac:dyDescent="0.35">
      <c r="G721" s="321">
        <v>44436</v>
      </c>
      <c r="H721" s="321"/>
      <c r="I721" s="321"/>
      <c r="R721" s="323" t="s">
        <v>826</v>
      </c>
    </row>
    <row r="722" spans="7:18" hidden="1" x14ac:dyDescent="0.35">
      <c r="G722" s="321">
        <v>44437</v>
      </c>
      <c r="H722" s="321"/>
      <c r="I722" s="321"/>
      <c r="R722" s="323" t="s">
        <v>827</v>
      </c>
    </row>
    <row r="723" spans="7:18" hidden="1" x14ac:dyDescent="0.35">
      <c r="G723" s="321">
        <v>44438</v>
      </c>
      <c r="H723" s="321"/>
      <c r="I723" s="321"/>
      <c r="R723" s="323" t="s">
        <v>828</v>
      </c>
    </row>
    <row r="724" spans="7:18" hidden="1" x14ac:dyDescent="0.35">
      <c r="G724" s="321">
        <v>44439</v>
      </c>
      <c r="H724" s="321"/>
      <c r="I724" s="321"/>
      <c r="R724" s="323" t="s">
        <v>829</v>
      </c>
    </row>
    <row r="725" spans="7:18" hidden="1" x14ac:dyDescent="0.35">
      <c r="G725" s="321">
        <v>44440</v>
      </c>
      <c r="H725" s="321"/>
      <c r="I725" s="321"/>
      <c r="R725" s="323" t="s">
        <v>830</v>
      </c>
    </row>
    <row r="726" spans="7:18" hidden="1" x14ac:dyDescent="0.35">
      <c r="G726" s="321">
        <v>44441</v>
      </c>
      <c r="H726" s="321"/>
      <c r="I726" s="321"/>
      <c r="R726" s="323" t="s">
        <v>831</v>
      </c>
    </row>
    <row r="727" spans="7:18" hidden="1" x14ac:dyDescent="0.35">
      <c r="G727" s="321">
        <v>44442</v>
      </c>
      <c r="H727" s="321"/>
      <c r="I727" s="321"/>
      <c r="R727" s="323" t="s">
        <v>832</v>
      </c>
    </row>
    <row r="728" spans="7:18" hidden="1" x14ac:dyDescent="0.35">
      <c r="G728" s="321">
        <v>44443</v>
      </c>
      <c r="H728" s="321"/>
      <c r="I728" s="321"/>
      <c r="R728" s="323" t="s">
        <v>833</v>
      </c>
    </row>
    <row r="729" spans="7:18" hidden="1" x14ac:dyDescent="0.35">
      <c r="G729" s="321">
        <v>44444</v>
      </c>
      <c r="H729" s="321"/>
      <c r="I729" s="321"/>
      <c r="R729" s="323" t="s">
        <v>834</v>
      </c>
    </row>
    <row r="730" spans="7:18" hidden="1" x14ac:dyDescent="0.35">
      <c r="G730" s="321">
        <v>44445</v>
      </c>
      <c r="H730" s="321"/>
      <c r="I730" s="321"/>
      <c r="R730" s="323" t="s">
        <v>835</v>
      </c>
    </row>
    <row r="731" spans="7:18" hidden="1" x14ac:dyDescent="0.35">
      <c r="G731" s="321">
        <v>44446</v>
      </c>
      <c r="H731" s="321"/>
      <c r="I731" s="321"/>
      <c r="R731" s="323" t="s">
        <v>836</v>
      </c>
    </row>
    <row r="732" spans="7:18" hidden="1" x14ac:dyDescent="0.35">
      <c r="G732" s="321">
        <v>44447</v>
      </c>
      <c r="H732" s="321"/>
      <c r="I732" s="321"/>
      <c r="R732" s="323" t="s">
        <v>837</v>
      </c>
    </row>
    <row r="733" spans="7:18" hidden="1" x14ac:dyDescent="0.35">
      <c r="G733" s="321">
        <v>44448</v>
      </c>
      <c r="H733" s="321"/>
      <c r="I733" s="321"/>
      <c r="R733" s="323" t="s">
        <v>838</v>
      </c>
    </row>
    <row r="734" spans="7:18" hidden="1" x14ac:dyDescent="0.35">
      <c r="G734" s="321">
        <v>44449</v>
      </c>
      <c r="H734" s="321"/>
      <c r="I734" s="321"/>
      <c r="R734" s="323" t="s">
        <v>839</v>
      </c>
    </row>
    <row r="735" spans="7:18" hidden="1" x14ac:dyDescent="0.35">
      <c r="G735" s="321">
        <v>44450</v>
      </c>
      <c r="H735" s="321"/>
      <c r="I735" s="321"/>
      <c r="R735" s="323" t="s">
        <v>840</v>
      </c>
    </row>
    <row r="736" spans="7:18" hidden="1" x14ac:dyDescent="0.35">
      <c r="G736" s="321">
        <v>44451</v>
      </c>
      <c r="H736" s="321"/>
      <c r="I736" s="321"/>
      <c r="R736" s="323" t="s">
        <v>841</v>
      </c>
    </row>
    <row r="737" spans="7:18" hidden="1" x14ac:dyDescent="0.35">
      <c r="G737" s="321">
        <v>44452</v>
      </c>
      <c r="H737" s="321"/>
      <c r="I737" s="321"/>
      <c r="R737" s="323" t="s">
        <v>842</v>
      </c>
    </row>
    <row r="738" spans="7:18" hidden="1" x14ac:dyDescent="0.35">
      <c r="G738" s="321">
        <v>44453</v>
      </c>
      <c r="H738" s="321"/>
      <c r="I738" s="321"/>
      <c r="R738" s="323" t="s">
        <v>843</v>
      </c>
    </row>
    <row r="739" spans="7:18" hidden="1" x14ac:dyDescent="0.35">
      <c r="G739" s="321">
        <v>44454</v>
      </c>
      <c r="H739" s="321"/>
      <c r="I739" s="321"/>
      <c r="R739" s="323" t="s">
        <v>844</v>
      </c>
    </row>
    <row r="740" spans="7:18" hidden="1" x14ac:dyDescent="0.35">
      <c r="G740" s="321">
        <v>44455</v>
      </c>
      <c r="H740" s="321"/>
      <c r="I740" s="321"/>
      <c r="R740" s="323" t="s">
        <v>845</v>
      </c>
    </row>
    <row r="741" spans="7:18" hidden="1" x14ac:dyDescent="0.35">
      <c r="G741" s="321">
        <v>44456</v>
      </c>
      <c r="H741" s="321"/>
      <c r="I741" s="321"/>
      <c r="R741" s="323" t="s">
        <v>846</v>
      </c>
    </row>
    <row r="742" spans="7:18" hidden="1" x14ac:dyDescent="0.35">
      <c r="G742" s="321">
        <v>44457</v>
      </c>
      <c r="H742" s="321"/>
      <c r="I742" s="321"/>
      <c r="R742" s="323" t="s">
        <v>847</v>
      </c>
    </row>
    <row r="743" spans="7:18" hidden="1" x14ac:dyDescent="0.35">
      <c r="G743" s="321">
        <v>44458</v>
      </c>
      <c r="H743" s="321"/>
      <c r="I743" s="321"/>
      <c r="R743" s="323" t="s">
        <v>848</v>
      </c>
    </row>
    <row r="744" spans="7:18" hidden="1" x14ac:dyDescent="0.35">
      <c r="G744" s="321">
        <v>44459</v>
      </c>
      <c r="H744" s="321"/>
      <c r="I744" s="321"/>
      <c r="R744" s="323" t="s">
        <v>849</v>
      </c>
    </row>
    <row r="745" spans="7:18" hidden="1" x14ac:dyDescent="0.35">
      <c r="G745" s="321">
        <v>44460</v>
      </c>
      <c r="H745" s="321"/>
      <c r="I745" s="321"/>
      <c r="R745" s="323" t="s">
        <v>850</v>
      </c>
    </row>
    <row r="746" spans="7:18" hidden="1" x14ac:dyDescent="0.35">
      <c r="G746" s="321">
        <v>44461</v>
      </c>
      <c r="H746" s="321"/>
      <c r="I746" s="321"/>
      <c r="R746" s="323" t="s">
        <v>851</v>
      </c>
    </row>
    <row r="747" spans="7:18" hidden="1" x14ac:dyDescent="0.35">
      <c r="G747" s="321">
        <v>44462</v>
      </c>
      <c r="H747" s="321"/>
      <c r="I747" s="321"/>
      <c r="R747" s="323" t="s">
        <v>852</v>
      </c>
    </row>
    <row r="748" spans="7:18" hidden="1" x14ac:dyDescent="0.35">
      <c r="G748" s="321">
        <v>44463</v>
      </c>
      <c r="H748" s="321"/>
      <c r="I748" s="321"/>
      <c r="R748" s="323" t="s">
        <v>853</v>
      </c>
    </row>
    <row r="749" spans="7:18" hidden="1" x14ac:dyDescent="0.35">
      <c r="G749" s="321">
        <v>44464</v>
      </c>
      <c r="H749" s="321"/>
      <c r="I749" s="321"/>
      <c r="R749" s="323" t="s">
        <v>854</v>
      </c>
    </row>
    <row r="750" spans="7:18" hidden="1" x14ac:dyDescent="0.35">
      <c r="G750" s="321">
        <v>44465</v>
      </c>
      <c r="H750" s="321"/>
      <c r="I750" s="321"/>
      <c r="R750" s="323" t="s">
        <v>855</v>
      </c>
    </row>
    <row r="751" spans="7:18" hidden="1" x14ac:dyDescent="0.35">
      <c r="G751" s="321">
        <v>44466</v>
      </c>
      <c r="H751" s="321"/>
      <c r="I751" s="321"/>
      <c r="R751" s="323" t="s">
        <v>856</v>
      </c>
    </row>
    <row r="752" spans="7:18" hidden="1" x14ac:dyDescent="0.35">
      <c r="G752" s="321">
        <v>44467</v>
      </c>
      <c r="H752" s="321"/>
      <c r="I752" s="321"/>
      <c r="R752" s="323" t="s">
        <v>857</v>
      </c>
    </row>
    <row r="753" spans="7:18" hidden="1" x14ac:dyDescent="0.35">
      <c r="G753" s="321">
        <v>44468</v>
      </c>
      <c r="H753" s="321"/>
      <c r="I753" s="321"/>
      <c r="R753" s="323" t="s">
        <v>858</v>
      </c>
    </row>
    <row r="754" spans="7:18" hidden="1" x14ac:dyDescent="0.35">
      <c r="G754" s="321">
        <v>44469</v>
      </c>
      <c r="H754" s="321"/>
      <c r="I754" s="321"/>
      <c r="R754" s="323" t="s">
        <v>859</v>
      </c>
    </row>
    <row r="755" spans="7:18" hidden="1" x14ac:dyDescent="0.35">
      <c r="G755" s="321">
        <v>44470</v>
      </c>
      <c r="H755" s="321"/>
      <c r="I755" s="321"/>
      <c r="R755" s="323" t="s">
        <v>860</v>
      </c>
    </row>
    <row r="756" spans="7:18" hidden="1" x14ac:dyDescent="0.35">
      <c r="G756" s="321">
        <v>44471</v>
      </c>
      <c r="H756" s="321"/>
      <c r="I756" s="321"/>
      <c r="R756" s="323" t="s">
        <v>861</v>
      </c>
    </row>
    <row r="757" spans="7:18" hidden="1" x14ac:dyDescent="0.35">
      <c r="G757" s="321">
        <v>44472</v>
      </c>
      <c r="H757" s="321"/>
      <c r="I757" s="321"/>
      <c r="R757" s="323" t="s">
        <v>862</v>
      </c>
    </row>
    <row r="758" spans="7:18" hidden="1" x14ac:dyDescent="0.35">
      <c r="G758" s="321">
        <v>44473</v>
      </c>
      <c r="H758" s="321"/>
      <c r="I758" s="321"/>
      <c r="R758" s="323" t="s">
        <v>863</v>
      </c>
    </row>
    <row r="759" spans="7:18" hidden="1" x14ac:dyDescent="0.35">
      <c r="G759" s="321">
        <v>44474</v>
      </c>
      <c r="H759" s="321"/>
      <c r="I759" s="321"/>
      <c r="R759" s="323" t="s">
        <v>864</v>
      </c>
    </row>
    <row r="760" spans="7:18" hidden="1" x14ac:dyDescent="0.35">
      <c r="G760" s="321">
        <v>44475</v>
      </c>
      <c r="H760" s="321"/>
      <c r="I760" s="321"/>
      <c r="R760" s="323" t="s">
        <v>865</v>
      </c>
    </row>
    <row r="761" spans="7:18" hidden="1" x14ac:dyDescent="0.35">
      <c r="G761" s="321">
        <v>44476</v>
      </c>
      <c r="H761" s="321"/>
      <c r="I761" s="321"/>
      <c r="R761" s="323" t="s">
        <v>866</v>
      </c>
    </row>
    <row r="762" spans="7:18" hidden="1" x14ac:dyDescent="0.35">
      <c r="G762" s="321">
        <v>44477</v>
      </c>
      <c r="H762" s="321"/>
      <c r="I762" s="321"/>
      <c r="R762" s="323" t="s">
        <v>867</v>
      </c>
    </row>
    <row r="763" spans="7:18" hidden="1" x14ac:dyDescent="0.35">
      <c r="G763" s="321">
        <v>44478</v>
      </c>
      <c r="H763" s="321"/>
      <c r="I763" s="321"/>
      <c r="R763" s="323" t="s">
        <v>868</v>
      </c>
    </row>
    <row r="764" spans="7:18" hidden="1" x14ac:dyDescent="0.35">
      <c r="G764" s="321">
        <v>44479</v>
      </c>
      <c r="H764" s="321"/>
      <c r="I764" s="321"/>
      <c r="R764" s="323" t="s">
        <v>869</v>
      </c>
    </row>
    <row r="765" spans="7:18" hidden="1" x14ac:dyDescent="0.35">
      <c r="G765" s="321">
        <v>44480</v>
      </c>
      <c r="H765" s="321"/>
      <c r="I765" s="321"/>
      <c r="R765" s="323" t="s">
        <v>870</v>
      </c>
    </row>
    <row r="766" spans="7:18" hidden="1" x14ac:dyDescent="0.35">
      <c r="G766" s="321">
        <v>44481</v>
      </c>
      <c r="H766" s="321"/>
      <c r="I766" s="321"/>
      <c r="R766" s="323" t="s">
        <v>871</v>
      </c>
    </row>
    <row r="767" spans="7:18" hidden="1" x14ac:dyDescent="0.35">
      <c r="G767" s="321">
        <v>44482</v>
      </c>
      <c r="H767" s="321"/>
      <c r="I767" s="321"/>
      <c r="R767" s="323" t="s">
        <v>872</v>
      </c>
    </row>
    <row r="768" spans="7:18" hidden="1" x14ac:dyDescent="0.35">
      <c r="G768" s="321">
        <v>44483</v>
      </c>
      <c r="H768" s="321"/>
      <c r="I768" s="321"/>
      <c r="R768" s="323" t="s">
        <v>873</v>
      </c>
    </row>
    <row r="769" spans="7:18" hidden="1" x14ac:dyDescent="0.35">
      <c r="G769" s="321">
        <v>44484</v>
      </c>
      <c r="H769" s="321"/>
      <c r="I769" s="321"/>
      <c r="R769" s="323" t="s">
        <v>874</v>
      </c>
    </row>
    <row r="770" spans="7:18" hidden="1" x14ac:dyDescent="0.35">
      <c r="G770" s="321">
        <v>44485</v>
      </c>
      <c r="H770" s="321"/>
      <c r="I770" s="321"/>
      <c r="R770" s="323" t="s">
        <v>875</v>
      </c>
    </row>
    <row r="771" spans="7:18" hidden="1" x14ac:dyDescent="0.35">
      <c r="G771" s="321">
        <v>44486</v>
      </c>
      <c r="H771" s="321"/>
      <c r="I771" s="321"/>
      <c r="R771" s="323" t="s">
        <v>876</v>
      </c>
    </row>
    <row r="772" spans="7:18" hidden="1" x14ac:dyDescent="0.35">
      <c r="G772" s="321">
        <v>44487</v>
      </c>
      <c r="H772" s="321"/>
      <c r="I772" s="321"/>
      <c r="R772" s="323" t="s">
        <v>877</v>
      </c>
    </row>
    <row r="773" spans="7:18" hidden="1" x14ac:dyDescent="0.35">
      <c r="G773" s="321">
        <v>44488</v>
      </c>
      <c r="H773" s="321"/>
      <c r="I773" s="321"/>
      <c r="R773" s="323" t="s">
        <v>878</v>
      </c>
    </row>
    <row r="774" spans="7:18" hidden="1" x14ac:dyDescent="0.35">
      <c r="G774" s="321">
        <v>44489</v>
      </c>
      <c r="H774" s="321"/>
      <c r="I774" s="321"/>
      <c r="R774" s="323" t="s">
        <v>879</v>
      </c>
    </row>
    <row r="775" spans="7:18" hidden="1" x14ac:dyDescent="0.35">
      <c r="G775" s="321">
        <v>44490</v>
      </c>
      <c r="H775" s="321"/>
      <c r="I775" s="321"/>
      <c r="R775" s="323" t="s">
        <v>880</v>
      </c>
    </row>
    <row r="776" spans="7:18" hidden="1" x14ac:dyDescent="0.35">
      <c r="G776" s="321">
        <v>44491</v>
      </c>
      <c r="H776" s="321"/>
      <c r="I776" s="321"/>
      <c r="R776" s="323" t="s">
        <v>881</v>
      </c>
    </row>
    <row r="777" spans="7:18" hidden="1" x14ac:dyDescent="0.35">
      <c r="G777" s="321">
        <v>44492</v>
      </c>
      <c r="H777" s="321"/>
      <c r="I777" s="321"/>
      <c r="R777" s="323" t="s">
        <v>882</v>
      </c>
    </row>
    <row r="778" spans="7:18" hidden="1" x14ac:dyDescent="0.35">
      <c r="G778" s="321">
        <v>44493</v>
      </c>
      <c r="H778" s="321"/>
      <c r="I778" s="321"/>
      <c r="R778" s="323" t="s">
        <v>883</v>
      </c>
    </row>
    <row r="779" spans="7:18" hidden="1" x14ac:dyDescent="0.35">
      <c r="G779" s="321">
        <v>44494</v>
      </c>
      <c r="H779" s="321"/>
      <c r="I779" s="321"/>
      <c r="R779" s="323" t="s">
        <v>884</v>
      </c>
    </row>
    <row r="780" spans="7:18" hidden="1" x14ac:dyDescent="0.35">
      <c r="G780" s="321">
        <v>44495</v>
      </c>
      <c r="H780" s="321"/>
      <c r="I780" s="321"/>
      <c r="R780" s="323" t="s">
        <v>885</v>
      </c>
    </row>
    <row r="781" spans="7:18" hidden="1" x14ac:dyDescent="0.35">
      <c r="G781" s="321">
        <v>44496</v>
      </c>
      <c r="H781" s="321"/>
      <c r="I781" s="321"/>
      <c r="R781" s="323" t="s">
        <v>886</v>
      </c>
    </row>
    <row r="782" spans="7:18" hidden="1" x14ac:dyDescent="0.35">
      <c r="G782" s="321">
        <v>44497</v>
      </c>
      <c r="H782" s="321"/>
      <c r="I782" s="321"/>
      <c r="R782" s="323" t="s">
        <v>887</v>
      </c>
    </row>
    <row r="783" spans="7:18" hidden="1" x14ac:dyDescent="0.35">
      <c r="G783" s="321">
        <v>44498</v>
      </c>
      <c r="H783" s="321"/>
      <c r="I783" s="321"/>
      <c r="R783" s="323" t="s">
        <v>888</v>
      </c>
    </row>
    <row r="784" spans="7:18" hidden="1" x14ac:dyDescent="0.35">
      <c r="G784" s="321">
        <v>44499</v>
      </c>
      <c r="H784" s="321"/>
      <c r="I784" s="321"/>
      <c r="R784" s="323" t="s">
        <v>889</v>
      </c>
    </row>
    <row r="785" spans="7:18" hidden="1" x14ac:dyDescent="0.35">
      <c r="G785" s="321">
        <v>44500</v>
      </c>
      <c r="H785" s="321"/>
      <c r="I785" s="321"/>
      <c r="R785" s="323" t="s">
        <v>890</v>
      </c>
    </row>
    <row r="786" spans="7:18" hidden="1" x14ac:dyDescent="0.35">
      <c r="G786" s="321">
        <v>44501</v>
      </c>
      <c r="H786" s="321"/>
      <c r="I786" s="321"/>
      <c r="R786" s="323" t="s">
        <v>891</v>
      </c>
    </row>
    <row r="787" spans="7:18" hidden="1" x14ac:dyDescent="0.35">
      <c r="G787" s="321">
        <v>44502</v>
      </c>
      <c r="H787" s="321"/>
      <c r="I787" s="321"/>
      <c r="R787" s="323" t="s">
        <v>892</v>
      </c>
    </row>
    <row r="788" spans="7:18" hidden="1" x14ac:dyDescent="0.35">
      <c r="G788" s="321">
        <v>44503</v>
      </c>
      <c r="H788" s="321"/>
      <c r="I788" s="321"/>
      <c r="R788" s="323" t="s">
        <v>893</v>
      </c>
    </row>
    <row r="789" spans="7:18" hidden="1" x14ac:dyDescent="0.35">
      <c r="G789" s="321">
        <v>44504</v>
      </c>
      <c r="H789" s="321"/>
      <c r="I789" s="321"/>
      <c r="R789" s="323" t="s">
        <v>894</v>
      </c>
    </row>
    <row r="790" spans="7:18" hidden="1" x14ac:dyDescent="0.35">
      <c r="G790" s="321">
        <v>44505</v>
      </c>
      <c r="H790" s="321"/>
      <c r="I790" s="321"/>
      <c r="R790" s="323" t="s">
        <v>895</v>
      </c>
    </row>
    <row r="791" spans="7:18" hidden="1" x14ac:dyDescent="0.35">
      <c r="G791" s="321">
        <v>44506</v>
      </c>
      <c r="H791" s="321"/>
      <c r="I791" s="321"/>
      <c r="R791" s="323" t="s">
        <v>896</v>
      </c>
    </row>
    <row r="792" spans="7:18" hidden="1" x14ac:dyDescent="0.35">
      <c r="G792" s="321">
        <v>44507</v>
      </c>
      <c r="H792" s="321"/>
      <c r="I792" s="321"/>
      <c r="R792" s="323" t="s">
        <v>897</v>
      </c>
    </row>
    <row r="793" spans="7:18" hidden="1" x14ac:dyDescent="0.35">
      <c r="G793" s="321">
        <v>44508</v>
      </c>
      <c r="H793" s="321"/>
      <c r="I793" s="321"/>
      <c r="R793" s="323" t="s">
        <v>898</v>
      </c>
    </row>
    <row r="794" spans="7:18" hidden="1" x14ac:dyDescent="0.35">
      <c r="G794" s="321">
        <v>44509</v>
      </c>
      <c r="H794" s="321"/>
      <c r="I794" s="321"/>
      <c r="R794" s="323" t="s">
        <v>899</v>
      </c>
    </row>
    <row r="795" spans="7:18" hidden="1" x14ac:dyDescent="0.35">
      <c r="G795" s="321">
        <v>44510</v>
      </c>
      <c r="H795" s="321"/>
      <c r="I795" s="321"/>
      <c r="R795" s="323" t="s">
        <v>900</v>
      </c>
    </row>
    <row r="796" spans="7:18" hidden="1" x14ac:dyDescent="0.35">
      <c r="G796" s="321">
        <v>44511</v>
      </c>
      <c r="H796" s="321"/>
      <c r="I796" s="321"/>
      <c r="R796" s="323" t="s">
        <v>901</v>
      </c>
    </row>
    <row r="797" spans="7:18" hidden="1" x14ac:dyDescent="0.35">
      <c r="G797" s="321">
        <v>44512</v>
      </c>
      <c r="H797" s="321"/>
      <c r="I797" s="321"/>
      <c r="R797" s="323" t="s">
        <v>902</v>
      </c>
    </row>
    <row r="798" spans="7:18" hidden="1" x14ac:dyDescent="0.35">
      <c r="G798" s="321">
        <v>44513</v>
      </c>
      <c r="H798" s="321"/>
      <c r="I798" s="321"/>
      <c r="R798" s="323" t="s">
        <v>903</v>
      </c>
    </row>
    <row r="799" spans="7:18" hidden="1" x14ac:dyDescent="0.35">
      <c r="G799" s="321">
        <v>44514</v>
      </c>
      <c r="H799" s="321"/>
      <c r="I799" s="321"/>
      <c r="R799" s="323" t="s">
        <v>904</v>
      </c>
    </row>
    <row r="800" spans="7:18" hidden="1" x14ac:dyDescent="0.35">
      <c r="G800" s="321">
        <v>44515</v>
      </c>
      <c r="H800" s="321"/>
      <c r="I800" s="321"/>
      <c r="R800" s="323" t="s">
        <v>905</v>
      </c>
    </row>
    <row r="801" spans="7:18" hidden="1" x14ac:dyDescent="0.35">
      <c r="G801" s="321">
        <v>44516</v>
      </c>
      <c r="H801" s="321"/>
      <c r="I801" s="321"/>
      <c r="R801" s="323" t="s">
        <v>906</v>
      </c>
    </row>
    <row r="802" spans="7:18" hidden="1" x14ac:dyDescent="0.35">
      <c r="G802" s="321">
        <v>44517</v>
      </c>
      <c r="H802" s="321"/>
      <c r="I802" s="321"/>
      <c r="R802" s="323" t="s">
        <v>907</v>
      </c>
    </row>
    <row r="803" spans="7:18" hidden="1" x14ac:dyDescent="0.35">
      <c r="G803" s="321">
        <v>44518</v>
      </c>
      <c r="H803" s="321"/>
      <c r="I803" s="321"/>
      <c r="R803" s="323" t="s">
        <v>908</v>
      </c>
    </row>
    <row r="804" spans="7:18" hidden="1" x14ac:dyDescent="0.35">
      <c r="G804" s="321">
        <v>44519</v>
      </c>
      <c r="H804" s="321"/>
      <c r="I804" s="321"/>
      <c r="R804" s="323" t="s">
        <v>909</v>
      </c>
    </row>
    <row r="805" spans="7:18" hidden="1" x14ac:dyDescent="0.35">
      <c r="G805" s="321">
        <v>44520</v>
      </c>
      <c r="H805" s="321"/>
      <c r="I805" s="321"/>
      <c r="R805" s="323" t="s">
        <v>910</v>
      </c>
    </row>
    <row r="806" spans="7:18" hidden="1" x14ac:dyDescent="0.35">
      <c r="G806" s="321">
        <v>44521</v>
      </c>
      <c r="H806" s="321"/>
      <c r="I806" s="321"/>
      <c r="R806" s="323" t="s">
        <v>911</v>
      </c>
    </row>
    <row r="807" spans="7:18" hidden="1" x14ac:dyDescent="0.35">
      <c r="G807" s="321">
        <v>44522</v>
      </c>
      <c r="H807" s="321"/>
      <c r="I807" s="321"/>
      <c r="R807" s="323" t="s">
        <v>912</v>
      </c>
    </row>
    <row r="808" spans="7:18" hidden="1" x14ac:dyDescent="0.35">
      <c r="G808" s="321">
        <v>44523</v>
      </c>
      <c r="H808" s="321"/>
      <c r="I808" s="321"/>
      <c r="R808" s="323" t="s">
        <v>913</v>
      </c>
    </row>
    <row r="809" spans="7:18" hidden="1" x14ac:dyDescent="0.35">
      <c r="G809" s="321">
        <v>44524</v>
      </c>
      <c r="H809" s="321"/>
      <c r="I809" s="321"/>
      <c r="R809" s="323" t="s">
        <v>914</v>
      </c>
    </row>
    <row r="810" spans="7:18" hidden="1" x14ac:dyDescent="0.35">
      <c r="G810" s="321">
        <v>44525</v>
      </c>
      <c r="H810" s="321"/>
      <c r="I810" s="321"/>
      <c r="R810" s="323" t="s">
        <v>915</v>
      </c>
    </row>
    <row r="811" spans="7:18" hidden="1" x14ac:dyDescent="0.35">
      <c r="G811" s="321">
        <v>44526</v>
      </c>
      <c r="H811" s="321"/>
      <c r="I811" s="321"/>
      <c r="R811" s="323" t="s">
        <v>916</v>
      </c>
    </row>
    <row r="812" spans="7:18" hidden="1" x14ac:dyDescent="0.35">
      <c r="G812" s="321">
        <v>44527</v>
      </c>
      <c r="H812" s="321"/>
      <c r="I812" s="321"/>
      <c r="R812" s="323" t="s">
        <v>917</v>
      </c>
    </row>
    <row r="813" spans="7:18" hidden="1" x14ac:dyDescent="0.35">
      <c r="G813" s="321">
        <v>44528</v>
      </c>
      <c r="H813" s="321"/>
      <c r="I813" s="321"/>
      <c r="R813" s="323" t="s">
        <v>918</v>
      </c>
    </row>
    <row r="814" spans="7:18" hidden="1" x14ac:dyDescent="0.35">
      <c r="G814" s="321">
        <v>44529</v>
      </c>
      <c r="H814" s="321"/>
      <c r="I814" s="321"/>
      <c r="R814" s="323" t="s">
        <v>919</v>
      </c>
    </row>
    <row r="815" spans="7:18" hidden="1" x14ac:dyDescent="0.35">
      <c r="G815" s="321">
        <v>44530</v>
      </c>
      <c r="H815" s="321"/>
      <c r="I815" s="321"/>
      <c r="R815" s="323" t="s">
        <v>920</v>
      </c>
    </row>
    <row r="816" spans="7:18" hidden="1" x14ac:dyDescent="0.35">
      <c r="G816" s="321">
        <v>44531</v>
      </c>
      <c r="H816" s="321"/>
      <c r="I816" s="321"/>
      <c r="R816" s="323" t="s">
        <v>921</v>
      </c>
    </row>
    <row r="817" spans="7:18" hidden="1" x14ac:dyDescent="0.35">
      <c r="G817" s="321">
        <v>44532</v>
      </c>
      <c r="H817" s="321"/>
      <c r="I817" s="321"/>
      <c r="R817" s="323" t="s">
        <v>922</v>
      </c>
    </row>
    <row r="818" spans="7:18" hidden="1" x14ac:dyDescent="0.35">
      <c r="G818" s="321">
        <v>44533</v>
      </c>
      <c r="H818" s="321"/>
      <c r="I818" s="321"/>
      <c r="R818" s="323" t="s">
        <v>923</v>
      </c>
    </row>
    <row r="819" spans="7:18" hidden="1" x14ac:dyDescent="0.35">
      <c r="G819" s="321">
        <v>44534</v>
      </c>
      <c r="H819" s="321"/>
      <c r="I819" s="321"/>
      <c r="R819" s="323" t="s">
        <v>924</v>
      </c>
    </row>
    <row r="820" spans="7:18" hidden="1" x14ac:dyDescent="0.35">
      <c r="G820" s="321">
        <v>44535</v>
      </c>
      <c r="H820" s="321"/>
      <c r="I820" s="321"/>
      <c r="R820" s="323" t="s">
        <v>925</v>
      </c>
    </row>
    <row r="821" spans="7:18" hidden="1" x14ac:dyDescent="0.35">
      <c r="G821" s="321">
        <v>44536</v>
      </c>
      <c r="H821" s="321"/>
      <c r="I821" s="321"/>
      <c r="R821" s="323" t="s">
        <v>926</v>
      </c>
    </row>
    <row r="822" spans="7:18" hidden="1" x14ac:dyDescent="0.35">
      <c r="G822" s="321">
        <v>44537</v>
      </c>
      <c r="H822" s="321"/>
      <c r="I822" s="321"/>
      <c r="R822" s="323" t="s">
        <v>927</v>
      </c>
    </row>
    <row r="823" spans="7:18" hidden="1" x14ac:dyDescent="0.35">
      <c r="G823" s="321">
        <v>44538</v>
      </c>
      <c r="H823" s="321"/>
      <c r="I823" s="321"/>
      <c r="R823" s="323" t="s">
        <v>928</v>
      </c>
    </row>
    <row r="824" spans="7:18" hidden="1" x14ac:dyDescent="0.35">
      <c r="G824" s="321">
        <v>44539</v>
      </c>
      <c r="H824" s="321"/>
      <c r="I824" s="321"/>
      <c r="R824" s="323" t="s">
        <v>929</v>
      </c>
    </row>
    <row r="825" spans="7:18" hidden="1" x14ac:dyDescent="0.35">
      <c r="G825" s="321">
        <v>44540</v>
      </c>
      <c r="H825" s="321"/>
      <c r="I825" s="321"/>
      <c r="R825" s="323" t="s">
        <v>930</v>
      </c>
    </row>
    <row r="826" spans="7:18" hidden="1" x14ac:dyDescent="0.35">
      <c r="G826" s="321">
        <v>44541</v>
      </c>
      <c r="H826" s="321"/>
      <c r="I826" s="321"/>
      <c r="R826" s="323" t="s">
        <v>931</v>
      </c>
    </row>
    <row r="827" spans="7:18" hidden="1" x14ac:dyDescent="0.35">
      <c r="G827" s="321">
        <v>44542</v>
      </c>
      <c r="H827" s="321"/>
      <c r="I827" s="321"/>
      <c r="R827" s="323" t="s">
        <v>932</v>
      </c>
    </row>
    <row r="828" spans="7:18" hidden="1" x14ac:dyDescent="0.35">
      <c r="G828" s="321">
        <v>44543</v>
      </c>
      <c r="H828" s="321"/>
      <c r="I828" s="321"/>
      <c r="R828" s="323" t="s">
        <v>933</v>
      </c>
    </row>
    <row r="829" spans="7:18" hidden="1" x14ac:dyDescent="0.35">
      <c r="G829" s="321">
        <v>44544</v>
      </c>
      <c r="H829" s="321"/>
      <c r="I829" s="321"/>
      <c r="R829" s="323" t="s">
        <v>934</v>
      </c>
    </row>
    <row r="830" spans="7:18" hidden="1" x14ac:dyDescent="0.35">
      <c r="G830" s="321">
        <v>44545</v>
      </c>
      <c r="H830" s="321"/>
      <c r="I830" s="321"/>
      <c r="R830" s="323" t="s">
        <v>935</v>
      </c>
    </row>
    <row r="831" spans="7:18" hidden="1" x14ac:dyDescent="0.35">
      <c r="G831" s="321">
        <v>44546</v>
      </c>
      <c r="H831" s="321"/>
      <c r="I831" s="321"/>
      <c r="R831" s="323" t="s">
        <v>936</v>
      </c>
    </row>
    <row r="832" spans="7:18" hidden="1" x14ac:dyDescent="0.35">
      <c r="G832" s="321">
        <v>44547</v>
      </c>
      <c r="H832" s="321"/>
      <c r="I832" s="321"/>
      <c r="R832" s="323" t="s">
        <v>937</v>
      </c>
    </row>
    <row r="833" spans="7:18" hidden="1" x14ac:dyDescent="0.35">
      <c r="G833" s="321">
        <v>44548</v>
      </c>
      <c r="H833" s="321"/>
      <c r="I833" s="321"/>
      <c r="R833" s="323" t="s">
        <v>938</v>
      </c>
    </row>
    <row r="834" spans="7:18" hidden="1" x14ac:dyDescent="0.35">
      <c r="G834" s="321">
        <v>44549</v>
      </c>
      <c r="H834" s="321"/>
      <c r="I834" s="321"/>
      <c r="R834" s="323" t="s">
        <v>939</v>
      </c>
    </row>
    <row r="835" spans="7:18" hidden="1" x14ac:dyDescent="0.35">
      <c r="G835" s="321">
        <v>44550</v>
      </c>
      <c r="H835" s="321"/>
      <c r="I835" s="321"/>
      <c r="R835" s="323" t="s">
        <v>940</v>
      </c>
    </row>
    <row r="836" spans="7:18" hidden="1" x14ac:dyDescent="0.35">
      <c r="G836" s="321">
        <v>44551</v>
      </c>
      <c r="H836" s="321"/>
      <c r="I836" s="321"/>
      <c r="R836" s="323" t="s">
        <v>941</v>
      </c>
    </row>
    <row r="837" spans="7:18" hidden="1" x14ac:dyDescent="0.35">
      <c r="G837" s="321">
        <v>44552</v>
      </c>
      <c r="H837" s="321"/>
      <c r="I837" s="321"/>
      <c r="R837" s="323" t="s">
        <v>942</v>
      </c>
    </row>
    <row r="838" spans="7:18" hidden="1" x14ac:dyDescent="0.35">
      <c r="G838" s="321">
        <v>44553</v>
      </c>
      <c r="H838" s="321"/>
      <c r="I838" s="321"/>
      <c r="R838" s="323" t="s">
        <v>943</v>
      </c>
    </row>
    <row r="839" spans="7:18" hidden="1" x14ac:dyDescent="0.35">
      <c r="G839" s="321">
        <v>44554</v>
      </c>
      <c r="H839" s="321"/>
      <c r="I839" s="321"/>
      <c r="R839" s="323" t="s">
        <v>944</v>
      </c>
    </row>
    <row r="840" spans="7:18" hidden="1" x14ac:dyDescent="0.35">
      <c r="G840" s="321">
        <v>44555</v>
      </c>
      <c r="H840" s="321"/>
      <c r="I840" s="321"/>
      <c r="R840" s="323" t="s">
        <v>945</v>
      </c>
    </row>
    <row r="841" spans="7:18" hidden="1" x14ac:dyDescent="0.35">
      <c r="G841" s="321">
        <v>44556</v>
      </c>
      <c r="H841" s="321"/>
      <c r="I841" s="321"/>
      <c r="R841" s="323" t="s">
        <v>946</v>
      </c>
    </row>
    <row r="842" spans="7:18" hidden="1" x14ac:dyDescent="0.35">
      <c r="G842" s="321">
        <v>44557</v>
      </c>
      <c r="H842" s="321"/>
      <c r="I842" s="321"/>
      <c r="R842" s="323" t="s">
        <v>947</v>
      </c>
    </row>
    <row r="843" spans="7:18" hidden="1" x14ac:dyDescent="0.35">
      <c r="G843" s="321">
        <v>44558</v>
      </c>
      <c r="H843" s="321"/>
      <c r="I843" s="321"/>
      <c r="R843" s="323" t="s">
        <v>948</v>
      </c>
    </row>
    <row r="844" spans="7:18" hidden="1" x14ac:dyDescent="0.35">
      <c r="G844" s="321">
        <v>44559</v>
      </c>
      <c r="H844" s="321"/>
      <c r="I844" s="321"/>
      <c r="R844" s="323" t="s">
        <v>949</v>
      </c>
    </row>
    <row r="845" spans="7:18" hidden="1" x14ac:dyDescent="0.35">
      <c r="G845" s="321">
        <v>44560</v>
      </c>
      <c r="H845" s="321"/>
      <c r="I845" s="321"/>
      <c r="R845" s="323" t="s">
        <v>950</v>
      </c>
    </row>
    <row r="846" spans="7:18" hidden="1" x14ac:dyDescent="0.35">
      <c r="G846" s="321">
        <v>44561</v>
      </c>
      <c r="H846" s="321"/>
      <c r="I846" s="321"/>
      <c r="R846" s="323" t="s">
        <v>951</v>
      </c>
    </row>
    <row r="847" spans="7:18" hidden="1" x14ac:dyDescent="0.35">
      <c r="G847" s="321">
        <v>44562</v>
      </c>
      <c r="H847" s="321"/>
      <c r="I847" s="321"/>
      <c r="R847" s="323" t="s">
        <v>952</v>
      </c>
    </row>
    <row r="848" spans="7:18" hidden="1" x14ac:dyDescent="0.35">
      <c r="G848" s="321">
        <v>44563</v>
      </c>
      <c r="H848" s="321"/>
      <c r="I848" s="321"/>
      <c r="R848" s="323" t="s">
        <v>953</v>
      </c>
    </row>
    <row r="849" spans="7:18" hidden="1" x14ac:dyDescent="0.35">
      <c r="G849" s="321">
        <v>44564</v>
      </c>
      <c r="H849" s="321"/>
      <c r="I849" s="321"/>
      <c r="R849" s="323" t="s">
        <v>954</v>
      </c>
    </row>
    <row r="850" spans="7:18" hidden="1" x14ac:dyDescent="0.35">
      <c r="G850" s="321">
        <v>44565</v>
      </c>
      <c r="H850" s="321"/>
      <c r="I850" s="321"/>
      <c r="R850" s="323" t="s">
        <v>955</v>
      </c>
    </row>
    <row r="851" spans="7:18" hidden="1" x14ac:dyDescent="0.35">
      <c r="G851" s="321">
        <v>44566</v>
      </c>
      <c r="H851" s="321"/>
      <c r="I851" s="321"/>
      <c r="R851" s="323" t="s">
        <v>956</v>
      </c>
    </row>
    <row r="852" spans="7:18" hidden="1" x14ac:dyDescent="0.35">
      <c r="G852" s="321">
        <v>44567</v>
      </c>
      <c r="H852" s="321"/>
      <c r="I852" s="321"/>
      <c r="R852" s="323" t="s">
        <v>957</v>
      </c>
    </row>
    <row r="853" spans="7:18" hidden="1" x14ac:dyDescent="0.35">
      <c r="G853" s="321">
        <v>44568</v>
      </c>
      <c r="H853" s="321"/>
      <c r="I853" s="321"/>
      <c r="R853" s="323" t="s">
        <v>958</v>
      </c>
    </row>
    <row r="854" spans="7:18" hidden="1" x14ac:dyDescent="0.35">
      <c r="G854" s="321">
        <v>44569</v>
      </c>
      <c r="H854" s="321"/>
      <c r="I854" s="321"/>
      <c r="R854" s="323" t="s">
        <v>959</v>
      </c>
    </row>
    <row r="855" spans="7:18" hidden="1" x14ac:dyDescent="0.35">
      <c r="G855" s="321">
        <v>44570</v>
      </c>
      <c r="H855" s="321"/>
      <c r="I855" s="321"/>
      <c r="R855" s="323" t="s">
        <v>960</v>
      </c>
    </row>
    <row r="856" spans="7:18" hidden="1" x14ac:dyDescent="0.35">
      <c r="G856" s="321">
        <v>44571</v>
      </c>
      <c r="H856" s="321"/>
      <c r="I856" s="321"/>
      <c r="R856" s="323" t="s">
        <v>961</v>
      </c>
    </row>
    <row r="857" spans="7:18" hidden="1" x14ac:dyDescent="0.35">
      <c r="G857" s="321">
        <v>44572</v>
      </c>
      <c r="H857" s="321"/>
      <c r="I857" s="321"/>
      <c r="R857" s="323" t="s">
        <v>962</v>
      </c>
    </row>
    <row r="858" spans="7:18" hidden="1" x14ac:dyDescent="0.35">
      <c r="G858" s="321">
        <v>44573</v>
      </c>
      <c r="H858" s="321"/>
      <c r="I858" s="321"/>
      <c r="R858" s="323" t="s">
        <v>963</v>
      </c>
    </row>
    <row r="859" spans="7:18" hidden="1" x14ac:dyDescent="0.35">
      <c r="G859" s="321">
        <v>44574</v>
      </c>
      <c r="H859" s="321"/>
      <c r="I859" s="321"/>
      <c r="R859" s="323" t="s">
        <v>964</v>
      </c>
    </row>
    <row r="860" spans="7:18" hidden="1" x14ac:dyDescent="0.35">
      <c r="G860" s="321">
        <v>44575</v>
      </c>
      <c r="H860" s="321"/>
      <c r="I860" s="321"/>
      <c r="R860" s="323" t="s">
        <v>965</v>
      </c>
    </row>
    <row r="861" spans="7:18" hidden="1" x14ac:dyDescent="0.35">
      <c r="G861" s="321">
        <v>44576</v>
      </c>
      <c r="H861" s="321"/>
      <c r="I861" s="321"/>
      <c r="R861" s="323" t="s">
        <v>966</v>
      </c>
    </row>
    <row r="862" spans="7:18" hidden="1" x14ac:dyDescent="0.35">
      <c r="G862" s="321">
        <v>44577</v>
      </c>
      <c r="H862" s="321"/>
      <c r="I862" s="321"/>
      <c r="R862" s="323" t="s">
        <v>967</v>
      </c>
    </row>
    <row r="863" spans="7:18" hidden="1" x14ac:dyDescent="0.35">
      <c r="G863" s="321">
        <v>44578</v>
      </c>
      <c r="H863" s="321"/>
      <c r="I863" s="321"/>
      <c r="R863" s="323" t="s">
        <v>968</v>
      </c>
    </row>
    <row r="864" spans="7:18" hidden="1" x14ac:dyDescent="0.35">
      <c r="G864" s="321">
        <v>44579</v>
      </c>
      <c r="H864" s="321"/>
      <c r="I864" s="321"/>
      <c r="R864" s="323" t="s">
        <v>969</v>
      </c>
    </row>
    <row r="865" spans="7:18" hidden="1" x14ac:dyDescent="0.35">
      <c r="G865" s="321">
        <v>44580</v>
      </c>
      <c r="H865" s="321"/>
      <c r="I865" s="321"/>
      <c r="R865" s="323" t="s">
        <v>970</v>
      </c>
    </row>
    <row r="866" spans="7:18" hidden="1" x14ac:dyDescent="0.35">
      <c r="G866" s="321">
        <v>44581</v>
      </c>
      <c r="H866" s="321"/>
      <c r="I866" s="321"/>
      <c r="R866" s="323" t="s">
        <v>971</v>
      </c>
    </row>
    <row r="867" spans="7:18" hidden="1" x14ac:dyDescent="0.35">
      <c r="G867" s="321">
        <v>44582</v>
      </c>
      <c r="H867" s="321"/>
      <c r="I867" s="321"/>
      <c r="R867" s="323" t="s">
        <v>972</v>
      </c>
    </row>
    <row r="868" spans="7:18" hidden="1" x14ac:dyDescent="0.35">
      <c r="G868" s="321">
        <v>44583</v>
      </c>
      <c r="H868" s="321"/>
      <c r="I868" s="321"/>
      <c r="R868" s="323" t="s">
        <v>973</v>
      </c>
    </row>
    <row r="869" spans="7:18" hidden="1" x14ac:dyDescent="0.35">
      <c r="G869" s="321">
        <v>44584</v>
      </c>
      <c r="H869" s="321"/>
      <c r="I869" s="321"/>
      <c r="R869" s="323" t="s">
        <v>974</v>
      </c>
    </row>
    <row r="870" spans="7:18" hidden="1" x14ac:dyDescent="0.35">
      <c r="G870" s="321">
        <v>44585</v>
      </c>
      <c r="H870" s="321"/>
      <c r="I870" s="321"/>
      <c r="R870" s="323" t="s">
        <v>975</v>
      </c>
    </row>
    <row r="871" spans="7:18" hidden="1" x14ac:dyDescent="0.35">
      <c r="G871" s="321">
        <v>44586</v>
      </c>
      <c r="H871" s="321"/>
      <c r="I871" s="321"/>
      <c r="R871" s="323" t="s">
        <v>976</v>
      </c>
    </row>
    <row r="872" spans="7:18" hidden="1" x14ac:dyDescent="0.35">
      <c r="G872" s="321">
        <v>44587</v>
      </c>
      <c r="H872" s="321"/>
      <c r="I872" s="321"/>
      <c r="R872" s="323" t="s">
        <v>977</v>
      </c>
    </row>
    <row r="873" spans="7:18" hidden="1" x14ac:dyDescent="0.35">
      <c r="G873" s="321">
        <v>44588</v>
      </c>
      <c r="H873" s="321"/>
      <c r="I873" s="321"/>
      <c r="R873" s="323" t="s">
        <v>978</v>
      </c>
    </row>
    <row r="874" spans="7:18" hidden="1" x14ac:dyDescent="0.35">
      <c r="G874" s="321">
        <v>44589</v>
      </c>
      <c r="H874" s="321"/>
      <c r="I874" s="321"/>
      <c r="R874" s="323" t="s">
        <v>979</v>
      </c>
    </row>
    <row r="875" spans="7:18" hidden="1" x14ac:dyDescent="0.35">
      <c r="G875" s="321">
        <v>44590</v>
      </c>
      <c r="H875" s="321"/>
      <c r="I875" s="321"/>
      <c r="R875" s="323" t="s">
        <v>980</v>
      </c>
    </row>
    <row r="876" spans="7:18" hidden="1" x14ac:dyDescent="0.35">
      <c r="G876" s="321">
        <v>44591</v>
      </c>
      <c r="H876" s="321"/>
      <c r="I876" s="321"/>
      <c r="R876" s="323" t="s">
        <v>981</v>
      </c>
    </row>
    <row r="877" spans="7:18" hidden="1" x14ac:dyDescent="0.35">
      <c r="G877" s="321">
        <v>44592</v>
      </c>
      <c r="H877" s="321"/>
      <c r="I877" s="321"/>
      <c r="R877" s="323" t="s">
        <v>982</v>
      </c>
    </row>
    <row r="878" spans="7:18" hidden="1" x14ac:dyDescent="0.35">
      <c r="G878" s="321">
        <v>44593</v>
      </c>
      <c r="H878" s="321"/>
      <c r="I878" s="321"/>
      <c r="R878" s="323" t="s">
        <v>983</v>
      </c>
    </row>
    <row r="879" spans="7:18" hidden="1" x14ac:dyDescent="0.35">
      <c r="G879" s="321">
        <v>44594</v>
      </c>
      <c r="H879" s="321"/>
      <c r="I879" s="321"/>
      <c r="R879" s="323" t="s">
        <v>984</v>
      </c>
    </row>
    <row r="880" spans="7:18" hidden="1" x14ac:dyDescent="0.35">
      <c r="G880" s="321">
        <v>44595</v>
      </c>
      <c r="H880" s="321"/>
      <c r="I880" s="321"/>
      <c r="R880" s="323" t="s">
        <v>985</v>
      </c>
    </row>
    <row r="881" spans="7:18" hidden="1" x14ac:dyDescent="0.35">
      <c r="G881" s="321">
        <v>44596</v>
      </c>
      <c r="H881" s="321"/>
      <c r="I881" s="321"/>
      <c r="R881" s="323" t="s">
        <v>986</v>
      </c>
    </row>
    <row r="882" spans="7:18" hidden="1" x14ac:dyDescent="0.35">
      <c r="G882" s="321">
        <v>44597</v>
      </c>
      <c r="H882" s="321"/>
      <c r="I882" s="321"/>
      <c r="R882" s="323" t="s">
        <v>987</v>
      </c>
    </row>
    <row r="883" spans="7:18" hidden="1" x14ac:dyDescent="0.35">
      <c r="G883" s="321">
        <v>44598</v>
      </c>
      <c r="H883" s="321"/>
      <c r="I883" s="321"/>
      <c r="R883" s="323" t="s">
        <v>988</v>
      </c>
    </row>
    <row r="884" spans="7:18" hidden="1" x14ac:dyDescent="0.35">
      <c r="G884" s="321">
        <v>44599</v>
      </c>
      <c r="H884" s="321"/>
      <c r="I884" s="321"/>
      <c r="R884" s="323" t="s">
        <v>989</v>
      </c>
    </row>
    <row r="885" spans="7:18" hidden="1" x14ac:dyDescent="0.35">
      <c r="G885" s="321">
        <v>44600</v>
      </c>
      <c r="H885" s="321"/>
      <c r="I885" s="321"/>
      <c r="R885" s="323" t="s">
        <v>990</v>
      </c>
    </row>
    <row r="886" spans="7:18" hidden="1" x14ac:dyDescent="0.35">
      <c r="G886" s="321">
        <v>44601</v>
      </c>
      <c r="H886" s="321"/>
      <c r="I886" s="321"/>
      <c r="R886" s="323" t="s">
        <v>991</v>
      </c>
    </row>
    <row r="887" spans="7:18" hidden="1" x14ac:dyDescent="0.35">
      <c r="G887" s="321">
        <v>44602</v>
      </c>
      <c r="H887" s="321"/>
      <c r="I887" s="321"/>
      <c r="R887" s="323" t="s">
        <v>992</v>
      </c>
    </row>
    <row r="888" spans="7:18" hidden="1" x14ac:dyDescent="0.35">
      <c r="G888" s="321">
        <v>44603</v>
      </c>
      <c r="H888" s="321"/>
      <c r="I888" s="321"/>
      <c r="R888" s="323" t="s">
        <v>993</v>
      </c>
    </row>
    <row r="889" spans="7:18" hidden="1" x14ac:dyDescent="0.35">
      <c r="G889" s="321">
        <v>44604</v>
      </c>
      <c r="H889" s="321"/>
      <c r="I889" s="321"/>
      <c r="R889" s="323" t="s">
        <v>994</v>
      </c>
    </row>
    <row r="890" spans="7:18" hidden="1" x14ac:dyDescent="0.35">
      <c r="G890" s="321">
        <v>44605</v>
      </c>
      <c r="H890" s="321"/>
      <c r="I890" s="321"/>
      <c r="R890" s="323" t="s">
        <v>995</v>
      </c>
    </row>
    <row r="891" spans="7:18" hidden="1" x14ac:dyDescent="0.35">
      <c r="G891" s="321">
        <v>44606</v>
      </c>
      <c r="H891" s="321"/>
      <c r="I891" s="321"/>
      <c r="R891" s="323" t="s">
        <v>996</v>
      </c>
    </row>
    <row r="892" spans="7:18" hidden="1" x14ac:dyDescent="0.35">
      <c r="G892" s="321">
        <v>44607</v>
      </c>
      <c r="H892" s="321"/>
      <c r="I892" s="321"/>
      <c r="R892" s="323" t="s">
        <v>997</v>
      </c>
    </row>
    <row r="893" spans="7:18" hidden="1" x14ac:dyDescent="0.35">
      <c r="G893" s="321">
        <v>44608</v>
      </c>
      <c r="H893" s="321"/>
      <c r="I893" s="321"/>
      <c r="R893" s="323" t="s">
        <v>998</v>
      </c>
    </row>
    <row r="894" spans="7:18" hidden="1" x14ac:dyDescent="0.35">
      <c r="G894" s="321">
        <v>44609</v>
      </c>
      <c r="H894" s="321"/>
      <c r="I894" s="321"/>
      <c r="R894" s="323" t="s">
        <v>999</v>
      </c>
    </row>
    <row r="895" spans="7:18" hidden="1" x14ac:dyDescent="0.35">
      <c r="G895" s="321">
        <v>44610</v>
      </c>
      <c r="H895" s="321"/>
      <c r="I895" s="321"/>
      <c r="R895" s="323" t="s">
        <v>1000</v>
      </c>
    </row>
    <row r="896" spans="7:18" hidden="1" x14ac:dyDescent="0.35">
      <c r="G896" s="321">
        <v>44611</v>
      </c>
      <c r="H896" s="321"/>
      <c r="I896" s="321"/>
      <c r="R896" s="323" t="s">
        <v>1001</v>
      </c>
    </row>
    <row r="897" spans="7:18" hidden="1" x14ac:dyDescent="0.35">
      <c r="G897" s="321">
        <v>44612</v>
      </c>
      <c r="H897" s="321"/>
      <c r="I897" s="321"/>
      <c r="R897" s="323" t="s">
        <v>1002</v>
      </c>
    </row>
    <row r="898" spans="7:18" hidden="1" x14ac:dyDescent="0.35">
      <c r="G898" s="321">
        <v>44613</v>
      </c>
      <c r="H898" s="321"/>
      <c r="I898" s="321"/>
      <c r="R898" s="323" t="s">
        <v>1003</v>
      </c>
    </row>
    <row r="899" spans="7:18" hidden="1" x14ac:dyDescent="0.35">
      <c r="G899" s="321">
        <v>44614</v>
      </c>
      <c r="H899" s="321"/>
      <c r="I899" s="321"/>
      <c r="R899" s="323" t="s">
        <v>1004</v>
      </c>
    </row>
    <row r="900" spans="7:18" hidden="1" x14ac:dyDescent="0.35">
      <c r="G900" s="321">
        <v>44615</v>
      </c>
      <c r="H900" s="321"/>
      <c r="I900" s="321"/>
      <c r="R900" s="323" t="s">
        <v>1005</v>
      </c>
    </row>
    <row r="901" spans="7:18" hidden="1" x14ac:dyDescent="0.35">
      <c r="G901" s="321">
        <v>44616</v>
      </c>
      <c r="H901" s="321"/>
      <c r="I901" s="321"/>
      <c r="R901" s="323" t="s">
        <v>1006</v>
      </c>
    </row>
    <row r="902" spans="7:18" hidden="1" x14ac:dyDescent="0.35">
      <c r="G902" s="321">
        <v>44617</v>
      </c>
      <c r="H902" s="321"/>
      <c r="I902" s="321"/>
      <c r="R902" s="323" t="s">
        <v>1007</v>
      </c>
    </row>
    <row r="903" spans="7:18" hidden="1" x14ac:dyDescent="0.35">
      <c r="G903" s="321">
        <v>44618</v>
      </c>
      <c r="H903" s="321"/>
      <c r="I903" s="321"/>
      <c r="R903" s="323" t="s">
        <v>1008</v>
      </c>
    </row>
    <row r="904" spans="7:18" hidden="1" x14ac:dyDescent="0.35">
      <c r="G904" s="321">
        <v>44619</v>
      </c>
      <c r="H904" s="321"/>
      <c r="I904" s="321"/>
      <c r="R904" s="323" t="s">
        <v>1009</v>
      </c>
    </row>
    <row r="905" spans="7:18" hidden="1" x14ac:dyDescent="0.35">
      <c r="G905" s="321">
        <v>44620</v>
      </c>
      <c r="H905" s="321"/>
      <c r="I905" s="321"/>
      <c r="R905" s="323" t="s">
        <v>1010</v>
      </c>
    </row>
    <row r="906" spans="7:18" hidden="1" x14ac:dyDescent="0.35">
      <c r="G906" s="321">
        <v>44621</v>
      </c>
      <c r="H906" s="321"/>
      <c r="I906" s="321"/>
      <c r="R906" s="323" t="s">
        <v>1011</v>
      </c>
    </row>
    <row r="907" spans="7:18" hidden="1" x14ac:dyDescent="0.35">
      <c r="G907" s="321">
        <v>44622</v>
      </c>
      <c r="H907" s="321"/>
      <c r="I907" s="321"/>
      <c r="R907" s="323" t="s">
        <v>1012</v>
      </c>
    </row>
    <row r="908" spans="7:18" hidden="1" x14ac:dyDescent="0.35">
      <c r="G908" s="321">
        <v>44623</v>
      </c>
      <c r="H908" s="321"/>
      <c r="I908" s="321"/>
      <c r="R908" s="323" t="s">
        <v>1013</v>
      </c>
    </row>
    <row r="909" spans="7:18" hidden="1" x14ac:dyDescent="0.35">
      <c r="G909" s="321">
        <v>44624</v>
      </c>
      <c r="H909" s="321"/>
      <c r="I909" s="321"/>
      <c r="R909" s="323" t="s">
        <v>1014</v>
      </c>
    </row>
    <row r="910" spans="7:18" hidden="1" x14ac:dyDescent="0.35">
      <c r="G910" s="321">
        <v>44625</v>
      </c>
      <c r="H910" s="321"/>
      <c r="I910" s="321"/>
      <c r="R910" s="323" t="s">
        <v>1015</v>
      </c>
    </row>
    <row r="911" spans="7:18" hidden="1" x14ac:dyDescent="0.35">
      <c r="G911" s="321">
        <v>44626</v>
      </c>
      <c r="H911" s="321"/>
      <c r="I911" s="321"/>
      <c r="R911" s="323" t="s">
        <v>1016</v>
      </c>
    </row>
    <row r="912" spans="7:18" hidden="1" x14ac:dyDescent="0.35">
      <c r="G912" s="321">
        <v>44627</v>
      </c>
      <c r="H912" s="321"/>
      <c r="I912" s="321"/>
      <c r="R912" s="323" t="s">
        <v>1017</v>
      </c>
    </row>
    <row r="913" spans="7:18" hidden="1" x14ac:dyDescent="0.35">
      <c r="G913" s="321">
        <v>44628</v>
      </c>
      <c r="H913" s="321"/>
      <c r="I913" s="321"/>
      <c r="R913" s="323" t="s">
        <v>1018</v>
      </c>
    </row>
    <row r="914" spans="7:18" hidden="1" x14ac:dyDescent="0.35">
      <c r="G914" s="321">
        <v>44629</v>
      </c>
      <c r="H914" s="321"/>
      <c r="I914" s="321"/>
      <c r="R914" s="323" t="s">
        <v>1019</v>
      </c>
    </row>
    <row r="915" spans="7:18" hidden="1" x14ac:dyDescent="0.35">
      <c r="G915" s="321">
        <v>44630</v>
      </c>
      <c r="H915" s="321"/>
      <c r="I915" s="321"/>
      <c r="R915" s="323" t="s">
        <v>1020</v>
      </c>
    </row>
    <row r="916" spans="7:18" hidden="1" x14ac:dyDescent="0.35">
      <c r="G916" s="321">
        <v>44631</v>
      </c>
      <c r="H916" s="321"/>
      <c r="I916" s="321"/>
      <c r="R916" s="323" t="s">
        <v>1021</v>
      </c>
    </row>
    <row r="917" spans="7:18" hidden="1" x14ac:dyDescent="0.35">
      <c r="G917" s="321">
        <v>44632</v>
      </c>
      <c r="H917" s="321"/>
      <c r="I917" s="321"/>
      <c r="R917" s="323" t="s">
        <v>1022</v>
      </c>
    </row>
    <row r="918" spans="7:18" hidden="1" x14ac:dyDescent="0.35">
      <c r="G918" s="321">
        <v>44633</v>
      </c>
      <c r="H918" s="321"/>
      <c r="I918" s="321"/>
      <c r="R918" s="323" t="s">
        <v>1023</v>
      </c>
    </row>
    <row r="919" spans="7:18" hidden="1" x14ac:dyDescent="0.35">
      <c r="G919" s="321">
        <v>44634</v>
      </c>
      <c r="H919" s="321"/>
      <c r="I919" s="321"/>
      <c r="R919" s="323" t="s">
        <v>1024</v>
      </c>
    </row>
    <row r="920" spans="7:18" hidden="1" x14ac:dyDescent="0.35">
      <c r="G920" s="321">
        <v>44635</v>
      </c>
      <c r="H920" s="321"/>
      <c r="I920" s="321"/>
      <c r="R920" s="323" t="s">
        <v>1025</v>
      </c>
    </row>
    <row r="921" spans="7:18" hidden="1" x14ac:dyDescent="0.35">
      <c r="G921" s="321">
        <v>44636</v>
      </c>
      <c r="H921" s="321"/>
      <c r="I921" s="321"/>
      <c r="R921" s="323" t="s">
        <v>1026</v>
      </c>
    </row>
    <row r="922" spans="7:18" hidden="1" x14ac:dyDescent="0.35">
      <c r="G922" s="321">
        <v>44637</v>
      </c>
      <c r="H922" s="321"/>
      <c r="I922" s="321"/>
      <c r="R922" s="323" t="s">
        <v>1027</v>
      </c>
    </row>
    <row r="923" spans="7:18" hidden="1" x14ac:dyDescent="0.35">
      <c r="G923" s="321">
        <v>44638</v>
      </c>
      <c r="H923" s="321"/>
      <c r="I923" s="321"/>
      <c r="R923" s="323" t="s">
        <v>1028</v>
      </c>
    </row>
    <row r="924" spans="7:18" hidden="1" x14ac:dyDescent="0.35">
      <c r="G924" s="321">
        <v>44639</v>
      </c>
      <c r="H924" s="321"/>
      <c r="I924" s="321"/>
      <c r="R924" s="323" t="s">
        <v>1029</v>
      </c>
    </row>
    <row r="925" spans="7:18" hidden="1" x14ac:dyDescent="0.35">
      <c r="G925" s="321">
        <v>44640</v>
      </c>
      <c r="H925" s="321"/>
      <c r="I925" s="321"/>
      <c r="R925" s="323" t="s">
        <v>1030</v>
      </c>
    </row>
    <row r="926" spans="7:18" hidden="1" x14ac:dyDescent="0.35">
      <c r="G926" s="321">
        <v>44641</v>
      </c>
      <c r="H926" s="321"/>
      <c r="I926" s="321"/>
      <c r="R926" s="323" t="s">
        <v>1031</v>
      </c>
    </row>
    <row r="927" spans="7:18" hidden="1" x14ac:dyDescent="0.35">
      <c r="G927" s="321">
        <v>44642</v>
      </c>
      <c r="H927" s="321"/>
      <c r="I927" s="321"/>
      <c r="R927" s="323" t="s">
        <v>1032</v>
      </c>
    </row>
    <row r="928" spans="7:18" hidden="1" x14ac:dyDescent="0.35">
      <c r="G928" s="321">
        <v>44643</v>
      </c>
      <c r="H928" s="321"/>
      <c r="I928" s="321"/>
      <c r="R928" s="323" t="s">
        <v>1033</v>
      </c>
    </row>
    <row r="929" spans="7:18" hidden="1" x14ac:dyDescent="0.35">
      <c r="G929" s="321">
        <v>44644</v>
      </c>
      <c r="H929" s="321"/>
      <c r="I929" s="321"/>
      <c r="R929" s="323" t="s">
        <v>1034</v>
      </c>
    </row>
    <row r="930" spans="7:18" hidden="1" x14ac:dyDescent="0.35">
      <c r="G930" s="321">
        <v>44645</v>
      </c>
      <c r="H930" s="321"/>
      <c r="I930" s="321"/>
      <c r="R930" s="323" t="s">
        <v>1035</v>
      </c>
    </row>
    <row r="931" spans="7:18" hidden="1" x14ac:dyDescent="0.35">
      <c r="G931" s="321">
        <v>44646</v>
      </c>
      <c r="H931" s="321"/>
      <c r="I931" s="321"/>
      <c r="R931" s="323" t="s">
        <v>1036</v>
      </c>
    </row>
    <row r="932" spans="7:18" hidden="1" x14ac:dyDescent="0.35">
      <c r="G932" s="321">
        <v>44647</v>
      </c>
      <c r="H932" s="321"/>
      <c r="I932" s="321"/>
      <c r="R932" s="323" t="s">
        <v>1037</v>
      </c>
    </row>
    <row r="933" spans="7:18" hidden="1" x14ac:dyDescent="0.35">
      <c r="G933" s="321">
        <v>44648</v>
      </c>
      <c r="H933" s="321"/>
      <c r="I933" s="321"/>
      <c r="R933" s="323" t="s">
        <v>1038</v>
      </c>
    </row>
    <row r="934" spans="7:18" hidden="1" x14ac:dyDescent="0.35">
      <c r="G934" s="321">
        <v>44649</v>
      </c>
      <c r="H934" s="321"/>
      <c r="I934" s="321"/>
      <c r="R934" s="323" t="s">
        <v>1039</v>
      </c>
    </row>
    <row r="935" spans="7:18" hidden="1" x14ac:dyDescent="0.35">
      <c r="G935" s="321">
        <v>44650</v>
      </c>
      <c r="H935" s="321"/>
      <c r="I935" s="321"/>
      <c r="R935" s="323" t="s">
        <v>1040</v>
      </c>
    </row>
    <row r="936" spans="7:18" hidden="1" x14ac:dyDescent="0.35">
      <c r="G936" s="321">
        <v>44651</v>
      </c>
      <c r="H936" s="321"/>
      <c r="I936" s="321"/>
      <c r="R936" s="323" t="s">
        <v>1041</v>
      </c>
    </row>
    <row r="937" spans="7:18" hidden="1" x14ac:dyDescent="0.35">
      <c r="G937" s="321">
        <v>44652</v>
      </c>
      <c r="H937" s="321"/>
      <c r="I937" s="321"/>
      <c r="R937" s="323" t="s">
        <v>1042</v>
      </c>
    </row>
    <row r="938" spans="7:18" hidden="1" x14ac:dyDescent="0.35">
      <c r="G938" s="321">
        <v>44653</v>
      </c>
      <c r="H938" s="321"/>
      <c r="I938" s="321"/>
      <c r="R938" s="323" t="s">
        <v>1043</v>
      </c>
    </row>
    <row r="939" spans="7:18" hidden="1" x14ac:dyDescent="0.35">
      <c r="G939" s="321">
        <v>44654</v>
      </c>
      <c r="H939" s="321"/>
      <c r="I939" s="321"/>
      <c r="R939" s="323" t="s">
        <v>1044</v>
      </c>
    </row>
    <row r="940" spans="7:18" hidden="1" x14ac:dyDescent="0.35">
      <c r="G940" s="321">
        <v>44655</v>
      </c>
      <c r="H940" s="321"/>
      <c r="I940" s="321"/>
      <c r="R940" s="323" t="s">
        <v>1045</v>
      </c>
    </row>
    <row r="941" spans="7:18" hidden="1" x14ac:dyDescent="0.35">
      <c r="G941" s="321">
        <v>44656</v>
      </c>
      <c r="H941" s="321"/>
      <c r="I941" s="321"/>
      <c r="R941" s="323" t="s">
        <v>1046</v>
      </c>
    </row>
    <row r="942" spans="7:18" hidden="1" x14ac:dyDescent="0.35">
      <c r="G942" s="321">
        <v>44657</v>
      </c>
      <c r="H942" s="321"/>
      <c r="I942" s="321"/>
      <c r="R942" s="323" t="s">
        <v>1047</v>
      </c>
    </row>
    <row r="943" spans="7:18" hidden="1" x14ac:dyDescent="0.35">
      <c r="G943" s="321">
        <v>44658</v>
      </c>
      <c r="H943" s="321"/>
      <c r="I943" s="321"/>
      <c r="R943" s="323" t="s">
        <v>1048</v>
      </c>
    </row>
    <row r="944" spans="7:18" hidden="1" x14ac:dyDescent="0.35">
      <c r="G944" s="321">
        <v>44659</v>
      </c>
      <c r="H944" s="321"/>
      <c r="I944" s="321"/>
      <c r="R944" s="323" t="s">
        <v>1049</v>
      </c>
    </row>
    <row r="945" spans="7:18" hidden="1" x14ac:dyDescent="0.35">
      <c r="G945" s="321">
        <v>44660</v>
      </c>
      <c r="H945" s="321"/>
      <c r="I945" s="321"/>
      <c r="R945" s="323" t="s">
        <v>1050</v>
      </c>
    </row>
    <row r="946" spans="7:18" hidden="1" x14ac:dyDescent="0.35">
      <c r="G946" s="321">
        <v>44661</v>
      </c>
      <c r="H946" s="321"/>
      <c r="I946" s="321"/>
      <c r="R946" s="323" t="s">
        <v>1051</v>
      </c>
    </row>
    <row r="947" spans="7:18" hidden="1" x14ac:dyDescent="0.35">
      <c r="G947" s="321">
        <v>44662</v>
      </c>
      <c r="H947" s="321"/>
      <c r="I947" s="321"/>
      <c r="R947" s="323" t="s">
        <v>1052</v>
      </c>
    </row>
    <row r="948" spans="7:18" hidden="1" x14ac:dyDescent="0.35">
      <c r="G948" s="321">
        <v>44663</v>
      </c>
      <c r="H948" s="321"/>
      <c r="I948" s="321"/>
      <c r="R948" s="323" t="s">
        <v>1053</v>
      </c>
    </row>
    <row r="949" spans="7:18" hidden="1" x14ac:dyDescent="0.35">
      <c r="G949" s="321">
        <v>44664</v>
      </c>
      <c r="H949" s="321"/>
      <c r="I949" s="321"/>
      <c r="R949" s="323" t="s">
        <v>1054</v>
      </c>
    </row>
    <row r="950" spans="7:18" hidden="1" x14ac:dyDescent="0.35">
      <c r="G950" s="321">
        <v>44665</v>
      </c>
      <c r="H950" s="321"/>
      <c r="I950" s="321"/>
      <c r="R950" s="323" t="s">
        <v>1055</v>
      </c>
    </row>
    <row r="951" spans="7:18" hidden="1" x14ac:dyDescent="0.35">
      <c r="G951" s="321">
        <v>44666</v>
      </c>
      <c r="H951" s="321"/>
      <c r="I951" s="321"/>
      <c r="R951" s="323" t="s">
        <v>1056</v>
      </c>
    </row>
    <row r="952" spans="7:18" hidden="1" x14ac:dyDescent="0.35">
      <c r="G952" s="321">
        <v>44667</v>
      </c>
      <c r="H952" s="321"/>
      <c r="I952" s="321"/>
      <c r="R952" s="323" t="s">
        <v>1057</v>
      </c>
    </row>
    <row r="953" spans="7:18" hidden="1" x14ac:dyDescent="0.35">
      <c r="G953" s="321">
        <v>44668</v>
      </c>
      <c r="H953" s="321"/>
      <c r="I953" s="321"/>
      <c r="R953" s="323" t="s">
        <v>1058</v>
      </c>
    </row>
    <row r="954" spans="7:18" hidden="1" x14ac:dyDescent="0.35">
      <c r="G954" s="321">
        <v>44669</v>
      </c>
      <c r="H954" s="321"/>
      <c r="I954" s="321"/>
      <c r="R954" s="323" t="s">
        <v>1059</v>
      </c>
    </row>
    <row r="955" spans="7:18" hidden="1" x14ac:dyDescent="0.35">
      <c r="G955" s="321">
        <v>44670</v>
      </c>
      <c r="H955" s="321"/>
      <c r="I955" s="321"/>
      <c r="R955" s="323" t="s">
        <v>1060</v>
      </c>
    </row>
    <row r="956" spans="7:18" hidden="1" x14ac:dyDescent="0.35">
      <c r="G956" s="321">
        <v>44671</v>
      </c>
      <c r="H956" s="321"/>
      <c r="I956" s="321"/>
      <c r="R956" s="323" t="s">
        <v>1061</v>
      </c>
    </row>
    <row r="957" spans="7:18" hidden="1" x14ac:dyDescent="0.35">
      <c r="G957" s="321">
        <v>44672</v>
      </c>
      <c r="H957" s="321"/>
      <c r="I957" s="321"/>
      <c r="R957" s="323" t="s">
        <v>1062</v>
      </c>
    </row>
    <row r="958" spans="7:18" hidden="1" x14ac:dyDescent="0.35">
      <c r="G958" s="321">
        <v>44673</v>
      </c>
      <c r="H958" s="321"/>
      <c r="I958" s="321"/>
      <c r="R958" s="323" t="s">
        <v>1063</v>
      </c>
    </row>
    <row r="959" spans="7:18" hidden="1" x14ac:dyDescent="0.35">
      <c r="G959" s="321">
        <v>44674</v>
      </c>
      <c r="H959" s="321"/>
      <c r="I959" s="321"/>
      <c r="R959" s="323" t="s">
        <v>1064</v>
      </c>
    </row>
    <row r="960" spans="7:18" hidden="1" x14ac:dyDescent="0.35">
      <c r="G960" s="321">
        <v>44675</v>
      </c>
      <c r="H960" s="321"/>
      <c r="I960" s="321"/>
      <c r="R960" s="323" t="s">
        <v>1065</v>
      </c>
    </row>
    <row r="961" spans="7:18" hidden="1" x14ac:dyDescent="0.35">
      <c r="G961" s="321">
        <v>44676</v>
      </c>
      <c r="H961" s="321"/>
      <c r="I961" s="321"/>
      <c r="R961" s="323" t="s">
        <v>1066</v>
      </c>
    </row>
    <row r="962" spans="7:18" hidden="1" x14ac:dyDescent="0.35">
      <c r="G962" s="321">
        <v>44677</v>
      </c>
      <c r="H962" s="321"/>
      <c r="I962" s="321"/>
      <c r="R962" s="323" t="s">
        <v>1067</v>
      </c>
    </row>
    <row r="963" spans="7:18" hidden="1" x14ac:dyDescent="0.35">
      <c r="G963" s="321">
        <v>44678</v>
      </c>
      <c r="H963" s="321"/>
      <c r="I963" s="321"/>
      <c r="R963" s="323" t="s">
        <v>1068</v>
      </c>
    </row>
    <row r="964" spans="7:18" hidden="1" x14ac:dyDescent="0.35">
      <c r="G964" s="321">
        <v>44679</v>
      </c>
      <c r="H964" s="321"/>
      <c r="I964" s="321"/>
      <c r="R964" s="323" t="s">
        <v>1069</v>
      </c>
    </row>
    <row r="965" spans="7:18" hidden="1" x14ac:dyDescent="0.35">
      <c r="G965" s="321">
        <v>44680</v>
      </c>
      <c r="H965" s="321"/>
      <c r="I965" s="321"/>
      <c r="R965" s="323" t="s">
        <v>1070</v>
      </c>
    </row>
    <row r="966" spans="7:18" hidden="1" x14ac:dyDescent="0.35">
      <c r="G966" s="321">
        <v>44681</v>
      </c>
      <c r="H966" s="321"/>
      <c r="I966" s="321"/>
      <c r="R966" s="323" t="s">
        <v>1071</v>
      </c>
    </row>
    <row r="967" spans="7:18" hidden="1" x14ac:dyDescent="0.35">
      <c r="G967" s="321">
        <v>44682</v>
      </c>
      <c r="H967" s="321"/>
      <c r="I967" s="321"/>
      <c r="R967" s="323" t="s">
        <v>1072</v>
      </c>
    </row>
    <row r="968" spans="7:18" hidden="1" x14ac:dyDescent="0.35">
      <c r="G968" s="321">
        <v>44683</v>
      </c>
      <c r="H968" s="321"/>
      <c r="I968" s="321"/>
      <c r="R968" s="323" t="s">
        <v>1073</v>
      </c>
    </row>
    <row r="969" spans="7:18" hidden="1" x14ac:dyDescent="0.35">
      <c r="G969" s="321">
        <v>44684</v>
      </c>
      <c r="H969" s="321"/>
      <c r="I969" s="321"/>
      <c r="R969" s="323" t="s">
        <v>1074</v>
      </c>
    </row>
    <row r="970" spans="7:18" hidden="1" x14ac:dyDescent="0.35">
      <c r="G970" s="321">
        <v>44685</v>
      </c>
      <c r="H970" s="321"/>
      <c r="I970" s="321"/>
      <c r="R970" s="323" t="s">
        <v>1075</v>
      </c>
    </row>
    <row r="971" spans="7:18" hidden="1" x14ac:dyDescent="0.35">
      <c r="G971" s="321">
        <v>44686</v>
      </c>
      <c r="H971" s="321"/>
      <c r="I971" s="321"/>
      <c r="R971" s="323" t="s">
        <v>1076</v>
      </c>
    </row>
    <row r="972" spans="7:18" hidden="1" x14ac:dyDescent="0.35">
      <c r="G972" s="321">
        <v>44687</v>
      </c>
      <c r="H972" s="321"/>
      <c r="I972" s="321"/>
      <c r="R972" s="323" t="s">
        <v>1077</v>
      </c>
    </row>
    <row r="973" spans="7:18" hidden="1" x14ac:dyDescent="0.35">
      <c r="G973" s="321">
        <v>44688</v>
      </c>
      <c r="H973" s="321"/>
      <c r="I973" s="321"/>
      <c r="R973" s="323" t="s">
        <v>1078</v>
      </c>
    </row>
    <row r="974" spans="7:18" hidden="1" x14ac:dyDescent="0.35">
      <c r="G974" s="321">
        <v>44689</v>
      </c>
      <c r="H974" s="321"/>
      <c r="I974" s="321"/>
      <c r="R974" s="323" t="s">
        <v>1079</v>
      </c>
    </row>
    <row r="975" spans="7:18" hidden="1" x14ac:dyDescent="0.35">
      <c r="G975" s="321">
        <v>44690</v>
      </c>
      <c r="H975" s="321"/>
      <c r="I975" s="321"/>
      <c r="R975" s="323" t="s">
        <v>1080</v>
      </c>
    </row>
    <row r="976" spans="7:18" hidden="1" x14ac:dyDescent="0.35">
      <c r="G976" s="321">
        <v>44691</v>
      </c>
      <c r="H976" s="321"/>
      <c r="I976" s="321"/>
      <c r="R976" s="323" t="s">
        <v>1081</v>
      </c>
    </row>
    <row r="977" spans="7:18" hidden="1" x14ac:dyDescent="0.35">
      <c r="G977" s="321">
        <v>44692</v>
      </c>
      <c r="H977" s="321"/>
      <c r="I977" s="321"/>
      <c r="R977" s="323" t="s">
        <v>1082</v>
      </c>
    </row>
    <row r="978" spans="7:18" hidden="1" x14ac:dyDescent="0.35">
      <c r="G978" s="321">
        <v>44693</v>
      </c>
      <c r="H978" s="321"/>
      <c r="I978" s="321"/>
      <c r="R978" s="323" t="s">
        <v>1083</v>
      </c>
    </row>
    <row r="979" spans="7:18" hidden="1" x14ac:dyDescent="0.35">
      <c r="G979" s="321">
        <v>44694</v>
      </c>
      <c r="H979" s="321"/>
      <c r="I979" s="321"/>
      <c r="R979" s="323" t="s">
        <v>1084</v>
      </c>
    </row>
    <row r="980" spans="7:18" hidden="1" x14ac:dyDescent="0.35">
      <c r="G980" s="321">
        <v>44695</v>
      </c>
      <c r="H980" s="321"/>
      <c r="I980" s="321"/>
      <c r="R980" s="323" t="s">
        <v>1085</v>
      </c>
    </row>
    <row r="981" spans="7:18" hidden="1" x14ac:dyDescent="0.35">
      <c r="G981" s="321">
        <v>44696</v>
      </c>
      <c r="H981" s="321"/>
      <c r="I981" s="321"/>
      <c r="R981" s="323" t="s">
        <v>1086</v>
      </c>
    </row>
    <row r="982" spans="7:18" hidden="1" x14ac:dyDescent="0.35">
      <c r="G982" s="321">
        <v>44697</v>
      </c>
      <c r="H982" s="321"/>
      <c r="I982" s="321"/>
      <c r="R982" s="323" t="s">
        <v>1087</v>
      </c>
    </row>
    <row r="983" spans="7:18" hidden="1" x14ac:dyDescent="0.35">
      <c r="G983" s="321">
        <v>44698</v>
      </c>
      <c r="H983" s="321"/>
      <c r="I983" s="321"/>
      <c r="R983" s="323" t="s">
        <v>1088</v>
      </c>
    </row>
    <row r="984" spans="7:18" hidden="1" x14ac:dyDescent="0.35">
      <c r="G984" s="321">
        <v>44699</v>
      </c>
      <c r="H984" s="321"/>
      <c r="I984" s="321"/>
      <c r="R984" s="323" t="s">
        <v>1089</v>
      </c>
    </row>
    <row r="985" spans="7:18" hidden="1" x14ac:dyDescent="0.35">
      <c r="G985" s="321">
        <v>44700</v>
      </c>
      <c r="H985" s="321"/>
      <c r="I985" s="321"/>
      <c r="R985" s="323" t="s">
        <v>1090</v>
      </c>
    </row>
    <row r="986" spans="7:18" hidden="1" x14ac:dyDescent="0.35">
      <c r="G986" s="321">
        <v>44701</v>
      </c>
      <c r="H986" s="321"/>
      <c r="I986" s="321"/>
      <c r="R986" s="323" t="s">
        <v>1091</v>
      </c>
    </row>
    <row r="987" spans="7:18" hidden="1" x14ac:dyDescent="0.35">
      <c r="G987" s="321">
        <v>44702</v>
      </c>
      <c r="H987" s="321"/>
      <c r="I987" s="321"/>
      <c r="R987" s="323" t="s">
        <v>1092</v>
      </c>
    </row>
    <row r="988" spans="7:18" hidden="1" x14ac:dyDescent="0.35">
      <c r="G988" s="321">
        <v>44703</v>
      </c>
      <c r="H988" s="321"/>
      <c r="I988" s="321"/>
      <c r="R988" s="323" t="s">
        <v>1093</v>
      </c>
    </row>
    <row r="989" spans="7:18" hidden="1" x14ac:dyDescent="0.35">
      <c r="G989" s="321">
        <v>44704</v>
      </c>
      <c r="H989" s="321"/>
      <c r="I989" s="321"/>
      <c r="R989" s="323" t="s">
        <v>1094</v>
      </c>
    </row>
    <row r="990" spans="7:18" hidden="1" x14ac:dyDescent="0.35">
      <c r="G990" s="321">
        <v>44705</v>
      </c>
      <c r="H990" s="321"/>
      <c r="I990" s="321"/>
      <c r="R990" s="323" t="s">
        <v>1095</v>
      </c>
    </row>
    <row r="991" spans="7:18" hidden="1" x14ac:dyDescent="0.35">
      <c r="G991" s="321">
        <v>44706</v>
      </c>
      <c r="H991" s="321"/>
      <c r="I991" s="321"/>
      <c r="R991" s="323" t="s">
        <v>1096</v>
      </c>
    </row>
    <row r="992" spans="7:18" hidden="1" x14ac:dyDescent="0.35">
      <c r="G992" s="321">
        <v>44707</v>
      </c>
      <c r="H992" s="321"/>
      <c r="I992" s="321"/>
      <c r="R992" s="323" t="s">
        <v>1097</v>
      </c>
    </row>
    <row r="993" spans="7:18" hidden="1" x14ac:dyDescent="0.35">
      <c r="G993" s="321">
        <v>44708</v>
      </c>
      <c r="H993" s="321"/>
      <c r="I993" s="321"/>
      <c r="R993" s="323" t="s">
        <v>1098</v>
      </c>
    </row>
    <row r="994" spans="7:18" hidden="1" x14ac:dyDescent="0.35">
      <c r="G994" s="321">
        <v>44709</v>
      </c>
      <c r="H994" s="321"/>
      <c r="I994" s="321"/>
      <c r="R994" s="323" t="s">
        <v>1099</v>
      </c>
    </row>
    <row r="995" spans="7:18" hidden="1" x14ac:dyDescent="0.35">
      <c r="G995" s="321">
        <v>44710</v>
      </c>
      <c r="H995" s="321"/>
      <c r="I995" s="321"/>
      <c r="R995" s="323" t="s">
        <v>1100</v>
      </c>
    </row>
    <row r="996" spans="7:18" hidden="1" x14ac:dyDescent="0.35">
      <c r="G996" s="321">
        <v>44711</v>
      </c>
      <c r="H996" s="321"/>
      <c r="I996" s="321"/>
      <c r="R996" s="323" t="s">
        <v>1101</v>
      </c>
    </row>
    <row r="997" spans="7:18" hidden="1" x14ac:dyDescent="0.35">
      <c r="G997" s="321">
        <v>44712</v>
      </c>
      <c r="H997" s="321"/>
      <c r="I997" s="321"/>
      <c r="R997" s="323" t="s">
        <v>1102</v>
      </c>
    </row>
    <row r="998" spans="7:18" hidden="1" x14ac:dyDescent="0.35">
      <c r="G998" s="321">
        <v>44713</v>
      </c>
      <c r="H998" s="321"/>
      <c r="I998" s="321"/>
      <c r="R998" s="323" t="s">
        <v>1103</v>
      </c>
    </row>
    <row r="999" spans="7:18" hidden="1" x14ac:dyDescent="0.35">
      <c r="G999" s="321">
        <v>44714</v>
      </c>
      <c r="H999" s="321"/>
      <c r="I999" s="321"/>
      <c r="R999" s="323" t="s">
        <v>1104</v>
      </c>
    </row>
    <row r="1000" spans="7:18" hidden="1" x14ac:dyDescent="0.35">
      <c r="G1000" s="321">
        <v>44715</v>
      </c>
      <c r="H1000" s="321"/>
      <c r="I1000" s="321"/>
      <c r="R1000" s="323" t="s">
        <v>1105</v>
      </c>
    </row>
    <row r="1001" spans="7:18" hidden="1" x14ac:dyDescent="0.35">
      <c r="G1001" s="321">
        <v>44716</v>
      </c>
      <c r="H1001" s="321"/>
      <c r="I1001" s="321"/>
      <c r="R1001" s="323" t="s">
        <v>1106</v>
      </c>
    </row>
    <row r="1002" spans="7:18" hidden="1" x14ac:dyDescent="0.35">
      <c r="G1002" s="321">
        <v>44717</v>
      </c>
      <c r="H1002" s="321"/>
      <c r="I1002" s="321"/>
      <c r="R1002" s="323" t="s">
        <v>1107</v>
      </c>
    </row>
    <row r="1003" spans="7:18" hidden="1" x14ac:dyDescent="0.35">
      <c r="G1003" s="321">
        <v>44718</v>
      </c>
      <c r="H1003" s="321"/>
      <c r="I1003" s="321"/>
      <c r="R1003" s="323" t="s">
        <v>1108</v>
      </c>
    </row>
    <row r="1004" spans="7:18" hidden="1" x14ac:dyDescent="0.35">
      <c r="G1004" s="321">
        <v>44719</v>
      </c>
      <c r="H1004" s="321"/>
      <c r="I1004" s="321"/>
      <c r="R1004" s="323" t="s">
        <v>1109</v>
      </c>
    </row>
    <row r="1005" spans="7:18" hidden="1" x14ac:dyDescent="0.35">
      <c r="G1005" s="321">
        <v>44720</v>
      </c>
      <c r="H1005" s="321"/>
      <c r="I1005" s="321"/>
      <c r="R1005" s="323" t="s">
        <v>1110</v>
      </c>
    </row>
    <row r="1006" spans="7:18" hidden="1" x14ac:dyDescent="0.35">
      <c r="G1006" s="321">
        <v>44721</v>
      </c>
      <c r="H1006" s="321"/>
      <c r="I1006" s="321"/>
      <c r="R1006" s="323" t="s">
        <v>1111</v>
      </c>
    </row>
    <row r="1007" spans="7:18" hidden="1" x14ac:dyDescent="0.35">
      <c r="G1007" s="321">
        <v>44722</v>
      </c>
      <c r="H1007" s="321"/>
      <c r="I1007" s="321"/>
      <c r="R1007" s="323" t="s">
        <v>1112</v>
      </c>
    </row>
    <row r="1008" spans="7:18" hidden="1" x14ac:dyDescent="0.35">
      <c r="G1008" s="321">
        <v>44723</v>
      </c>
      <c r="H1008" s="321"/>
      <c r="I1008" s="321"/>
      <c r="R1008" s="323" t="s">
        <v>1113</v>
      </c>
    </row>
    <row r="1009" spans="7:18" hidden="1" x14ac:dyDescent="0.35">
      <c r="G1009" s="321">
        <v>44724</v>
      </c>
      <c r="H1009" s="321"/>
      <c r="I1009" s="321"/>
      <c r="R1009" s="323" t="s">
        <v>1114</v>
      </c>
    </row>
    <row r="1010" spans="7:18" hidden="1" x14ac:dyDescent="0.35">
      <c r="G1010" s="321">
        <v>44725</v>
      </c>
      <c r="H1010" s="321"/>
      <c r="I1010" s="321"/>
      <c r="R1010" s="323" t="s">
        <v>1115</v>
      </c>
    </row>
    <row r="1011" spans="7:18" hidden="1" x14ac:dyDescent="0.35">
      <c r="G1011" s="321">
        <v>44726</v>
      </c>
      <c r="H1011" s="321"/>
      <c r="I1011" s="321"/>
      <c r="R1011" s="323" t="s">
        <v>1116</v>
      </c>
    </row>
    <row r="1012" spans="7:18" hidden="1" x14ac:dyDescent="0.35">
      <c r="G1012" s="321">
        <v>44727</v>
      </c>
      <c r="H1012" s="321"/>
      <c r="I1012" s="321"/>
      <c r="R1012" s="323" t="s">
        <v>1117</v>
      </c>
    </row>
    <row r="1013" spans="7:18" hidden="1" x14ac:dyDescent="0.35">
      <c r="G1013" s="321">
        <v>44728</v>
      </c>
      <c r="H1013" s="321"/>
      <c r="I1013" s="321"/>
      <c r="R1013" s="323" t="s">
        <v>1118</v>
      </c>
    </row>
    <row r="1014" spans="7:18" hidden="1" x14ac:dyDescent="0.35">
      <c r="G1014" s="321">
        <v>44729</v>
      </c>
      <c r="H1014" s="321"/>
      <c r="I1014" s="321"/>
      <c r="R1014" s="323" t="s">
        <v>1119</v>
      </c>
    </row>
    <row r="1015" spans="7:18" hidden="1" x14ac:dyDescent="0.35">
      <c r="G1015" s="321">
        <v>44730</v>
      </c>
      <c r="H1015" s="321"/>
      <c r="I1015" s="321"/>
      <c r="R1015" s="323" t="s">
        <v>1120</v>
      </c>
    </row>
    <row r="1016" spans="7:18" hidden="1" x14ac:dyDescent="0.35">
      <c r="G1016" s="321">
        <v>44731</v>
      </c>
      <c r="H1016" s="321"/>
      <c r="I1016" s="321"/>
      <c r="R1016" s="323" t="s">
        <v>1121</v>
      </c>
    </row>
    <row r="1017" spans="7:18" hidden="1" x14ac:dyDescent="0.35">
      <c r="G1017" s="321">
        <v>44732</v>
      </c>
      <c r="H1017" s="321"/>
      <c r="I1017" s="321"/>
      <c r="R1017" s="323" t="s">
        <v>1122</v>
      </c>
    </row>
    <row r="1018" spans="7:18" hidden="1" x14ac:dyDescent="0.35">
      <c r="G1018" s="321">
        <v>44733</v>
      </c>
      <c r="H1018" s="321"/>
      <c r="I1018" s="321"/>
      <c r="R1018" s="323" t="s">
        <v>1123</v>
      </c>
    </row>
    <row r="1019" spans="7:18" hidden="1" x14ac:dyDescent="0.35">
      <c r="G1019" s="321">
        <v>44734</v>
      </c>
      <c r="H1019" s="321"/>
      <c r="I1019" s="321"/>
      <c r="R1019" s="323" t="s">
        <v>1124</v>
      </c>
    </row>
    <row r="1020" spans="7:18" hidden="1" x14ac:dyDescent="0.35">
      <c r="G1020" s="321">
        <v>44735</v>
      </c>
      <c r="H1020" s="321"/>
      <c r="I1020" s="321"/>
      <c r="R1020" s="323" t="s">
        <v>1125</v>
      </c>
    </row>
    <row r="1021" spans="7:18" hidden="1" x14ac:dyDescent="0.35">
      <c r="G1021" s="321">
        <v>44736</v>
      </c>
      <c r="H1021" s="321"/>
      <c r="I1021" s="321"/>
      <c r="R1021" s="323" t="s">
        <v>1126</v>
      </c>
    </row>
    <row r="1022" spans="7:18" hidden="1" x14ac:dyDescent="0.35">
      <c r="G1022" s="321">
        <v>44737</v>
      </c>
      <c r="H1022" s="321"/>
      <c r="I1022" s="321"/>
      <c r="R1022" s="323" t="s">
        <v>1127</v>
      </c>
    </row>
    <row r="1023" spans="7:18" hidden="1" x14ac:dyDescent="0.35">
      <c r="G1023" s="321">
        <v>44738</v>
      </c>
      <c r="H1023" s="321"/>
      <c r="I1023" s="321"/>
      <c r="R1023" s="323" t="s">
        <v>1128</v>
      </c>
    </row>
    <row r="1024" spans="7:18" hidden="1" x14ac:dyDescent="0.35">
      <c r="G1024" s="321">
        <v>44739</v>
      </c>
      <c r="H1024" s="321"/>
      <c r="I1024" s="321"/>
      <c r="R1024" s="323" t="s">
        <v>1129</v>
      </c>
    </row>
    <row r="1025" spans="7:18" hidden="1" x14ac:dyDescent="0.35">
      <c r="G1025" s="321">
        <v>44740</v>
      </c>
      <c r="H1025" s="321"/>
      <c r="I1025" s="321"/>
      <c r="R1025" s="323" t="s">
        <v>1130</v>
      </c>
    </row>
    <row r="1026" spans="7:18" hidden="1" x14ac:dyDescent="0.35">
      <c r="G1026" s="321">
        <v>44741</v>
      </c>
      <c r="H1026" s="321"/>
      <c r="I1026" s="321"/>
      <c r="R1026" s="323" t="s">
        <v>1131</v>
      </c>
    </row>
    <row r="1027" spans="7:18" hidden="1" x14ac:dyDescent="0.35">
      <c r="G1027" s="321">
        <v>44742</v>
      </c>
      <c r="H1027" s="321"/>
      <c r="I1027" s="321"/>
      <c r="R1027" s="323" t="s">
        <v>1132</v>
      </c>
    </row>
    <row r="1028" spans="7:18" hidden="1" x14ac:dyDescent="0.35">
      <c r="G1028" s="321">
        <v>44743</v>
      </c>
      <c r="H1028" s="321"/>
      <c r="I1028" s="321"/>
      <c r="R1028" s="323" t="s">
        <v>1133</v>
      </c>
    </row>
    <row r="1029" spans="7:18" hidden="1" x14ac:dyDescent="0.35">
      <c r="G1029" s="321">
        <v>44744</v>
      </c>
      <c r="H1029" s="321"/>
      <c r="I1029" s="321"/>
      <c r="R1029" s="323" t="s">
        <v>1134</v>
      </c>
    </row>
    <row r="1030" spans="7:18" hidden="1" x14ac:dyDescent="0.35">
      <c r="G1030" s="321">
        <v>44745</v>
      </c>
      <c r="H1030" s="321"/>
      <c r="I1030" s="321"/>
      <c r="R1030" s="323" t="s">
        <v>1135</v>
      </c>
    </row>
    <row r="1031" spans="7:18" hidden="1" x14ac:dyDescent="0.35">
      <c r="G1031" s="321">
        <v>44746</v>
      </c>
      <c r="H1031" s="321"/>
      <c r="I1031" s="321"/>
      <c r="R1031" s="323" t="s">
        <v>1136</v>
      </c>
    </row>
    <row r="1032" spans="7:18" hidden="1" x14ac:dyDescent="0.35">
      <c r="G1032" s="321">
        <v>44747</v>
      </c>
      <c r="H1032" s="321"/>
      <c r="I1032" s="321"/>
      <c r="R1032" s="323" t="s">
        <v>1137</v>
      </c>
    </row>
    <row r="1033" spans="7:18" hidden="1" x14ac:dyDescent="0.35">
      <c r="G1033" s="321">
        <v>44748</v>
      </c>
      <c r="H1033" s="321"/>
      <c r="I1033" s="321"/>
      <c r="R1033" s="323" t="s">
        <v>1138</v>
      </c>
    </row>
    <row r="1034" spans="7:18" hidden="1" x14ac:dyDescent="0.35">
      <c r="G1034" s="321">
        <v>44749</v>
      </c>
      <c r="H1034" s="321"/>
      <c r="I1034" s="321"/>
      <c r="R1034" s="323" t="s">
        <v>1139</v>
      </c>
    </row>
    <row r="1035" spans="7:18" hidden="1" x14ac:dyDescent="0.35">
      <c r="G1035" s="321">
        <v>44750</v>
      </c>
      <c r="H1035" s="321"/>
      <c r="I1035" s="321"/>
      <c r="R1035" s="323" t="s">
        <v>1140</v>
      </c>
    </row>
    <row r="1036" spans="7:18" hidden="1" x14ac:dyDescent="0.35">
      <c r="G1036" s="321">
        <v>44751</v>
      </c>
      <c r="H1036" s="321"/>
      <c r="I1036" s="321"/>
      <c r="R1036" s="323" t="s">
        <v>1141</v>
      </c>
    </row>
    <row r="1037" spans="7:18" hidden="1" x14ac:dyDescent="0.35">
      <c r="G1037" s="321">
        <v>44752</v>
      </c>
      <c r="H1037" s="321"/>
      <c r="I1037" s="321"/>
      <c r="R1037" s="323" t="s">
        <v>1142</v>
      </c>
    </row>
    <row r="1038" spans="7:18" hidden="1" x14ac:dyDescent="0.35">
      <c r="G1038" s="321">
        <v>44753</v>
      </c>
      <c r="H1038" s="321"/>
      <c r="I1038" s="321"/>
      <c r="R1038" s="323" t="s">
        <v>1143</v>
      </c>
    </row>
    <row r="1039" spans="7:18" hidden="1" x14ac:dyDescent="0.35">
      <c r="G1039" s="321">
        <v>44754</v>
      </c>
      <c r="H1039" s="321"/>
      <c r="I1039" s="321"/>
      <c r="R1039" s="323" t="s">
        <v>1144</v>
      </c>
    </row>
    <row r="1040" spans="7:18" hidden="1" x14ac:dyDescent="0.35">
      <c r="G1040" s="321">
        <v>44755</v>
      </c>
      <c r="H1040" s="321"/>
      <c r="I1040" s="321"/>
      <c r="R1040" s="323" t="s">
        <v>1145</v>
      </c>
    </row>
    <row r="1041" spans="7:18" hidden="1" x14ac:dyDescent="0.35">
      <c r="G1041" s="321">
        <v>44756</v>
      </c>
      <c r="H1041" s="321"/>
      <c r="I1041" s="321"/>
      <c r="R1041" s="323" t="s">
        <v>1146</v>
      </c>
    </row>
    <row r="1042" spans="7:18" hidden="1" x14ac:dyDescent="0.35">
      <c r="G1042" s="321">
        <v>44757</v>
      </c>
      <c r="H1042" s="321"/>
      <c r="I1042" s="321"/>
      <c r="R1042" s="323" t="s">
        <v>1147</v>
      </c>
    </row>
    <row r="1043" spans="7:18" hidden="1" x14ac:dyDescent="0.35">
      <c r="G1043" s="321">
        <v>44758</v>
      </c>
      <c r="H1043" s="321"/>
      <c r="I1043" s="321"/>
      <c r="R1043" s="323" t="s">
        <v>1148</v>
      </c>
    </row>
    <row r="1044" spans="7:18" hidden="1" x14ac:dyDescent="0.35">
      <c r="G1044" s="321">
        <v>44759</v>
      </c>
      <c r="H1044" s="321"/>
      <c r="I1044" s="321"/>
      <c r="R1044" s="323" t="s">
        <v>1149</v>
      </c>
    </row>
    <row r="1045" spans="7:18" hidden="1" x14ac:dyDescent="0.35">
      <c r="G1045" s="321">
        <v>44760</v>
      </c>
      <c r="H1045" s="321"/>
      <c r="I1045" s="321"/>
      <c r="R1045" s="323" t="s">
        <v>1150</v>
      </c>
    </row>
    <row r="1046" spans="7:18" hidden="1" x14ac:dyDescent="0.35">
      <c r="G1046" s="321">
        <v>44761</v>
      </c>
      <c r="H1046" s="321"/>
      <c r="I1046" s="321"/>
      <c r="R1046" s="323" t="s">
        <v>1151</v>
      </c>
    </row>
    <row r="1047" spans="7:18" hidden="1" x14ac:dyDescent="0.35">
      <c r="G1047" s="321">
        <v>44762</v>
      </c>
      <c r="H1047" s="321"/>
      <c r="I1047" s="321"/>
      <c r="R1047" s="323" t="s">
        <v>1152</v>
      </c>
    </row>
    <row r="1048" spans="7:18" hidden="1" x14ac:dyDescent="0.35">
      <c r="G1048" s="321">
        <v>44763</v>
      </c>
      <c r="H1048" s="321"/>
      <c r="I1048" s="321"/>
      <c r="R1048" s="323" t="s">
        <v>1153</v>
      </c>
    </row>
    <row r="1049" spans="7:18" hidden="1" x14ac:dyDescent="0.35">
      <c r="G1049" s="321">
        <v>44764</v>
      </c>
      <c r="H1049" s="321"/>
      <c r="I1049" s="321"/>
      <c r="R1049" s="323" t="s">
        <v>1154</v>
      </c>
    </row>
    <row r="1050" spans="7:18" hidden="1" x14ac:dyDescent="0.35">
      <c r="G1050" s="321">
        <v>44765</v>
      </c>
      <c r="H1050" s="321"/>
      <c r="I1050" s="321"/>
      <c r="R1050" s="323" t="s">
        <v>1155</v>
      </c>
    </row>
    <row r="1051" spans="7:18" hidden="1" x14ac:dyDescent="0.35">
      <c r="G1051" s="321">
        <v>44766</v>
      </c>
      <c r="H1051" s="321"/>
      <c r="I1051" s="321"/>
      <c r="R1051" s="323" t="s">
        <v>1156</v>
      </c>
    </row>
    <row r="1052" spans="7:18" hidden="1" x14ac:dyDescent="0.35">
      <c r="G1052" s="321">
        <v>44767</v>
      </c>
      <c r="H1052" s="321"/>
      <c r="I1052" s="321"/>
      <c r="R1052" s="323" t="s">
        <v>1157</v>
      </c>
    </row>
    <row r="1053" spans="7:18" hidden="1" x14ac:dyDescent="0.35">
      <c r="G1053" s="321">
        <v>44768</v>
      </c>
      <c r="H1053" s="321"/>
      <c r="I1053" s="321"/>
      <c r="R1053" s="323" t="s">
        <v>1158</v>
      </c>
    </row>
    <row r="1054" spans="7:18" hidden="1" x14ac:dyDescent="0.35">
      <c r="G1054" s="321">
        <v>44769</v>
      </c>
      <c r="H1054" s="321"/>
      <c r="I1054" s="321"/>
      <c r="R1054" s="323" t="s">
        <v>1159</v>
      </c>
    </row>
    <row r="1055" spans="7:18" hidden="1" x14ac:dyDescent="0.35">
      <c r="G1055" s="321">
        <v>44770</v>
      </c>
      <c r="H1055" s="321"/>
      <c r="I1055" s="321"/>
      <c r="R1055" s="323" t="s">
        <v>1160</v>
      </c>
    </row>
    <row r="1056" spans="7:18" hidden="1" x14ac:dyDescent="0.35">
      <c r="G1056" s="321">
        <v>44771</v>
      </c>
      <c r="H1056" s="321"/>
      <c r="I1056" s="321"/>
      <c r="R1056" s="323" t="s">
        <v>1161</v>
      </c>
    </row>
    <row r="1057" spans="7:18" hidden="1" x14ac:dyDescent="0.35">
      <c r="G1057" s="321">
        <v>44772</v>
      </c>
      <c r="H1057" s="321"/>
      <c r="I1057" s="321"/>
      <c r="R1057" s="323" t="s">
        <v>1162</v>
      </c>
    </row>
    <row r="1058" spans="7:18" hidden="1" x14ac:dyDescent="0.35">
      <c r="G1058" s="321">
        <v>44773</v>
      </c>
      <c r="H1058" s="321"/>
      <c r="I1058" s="321"/>
      <c r="R1058" s="323" t="s">
        <v>1163</v>
      </c>
    </row>
    <row r="1059" spans="7:18" hidden="1" x14ac:dyDescent="0.35">
      <c r="G1059" s="321">
        <v>44774</v>
      </c>
      <c r="H1059" s="321"/>
      <c r="I1059" s="321"/>
      <c r="R1059" s="323" t="s">
        <v>1164</v>
      </c>
    </row>
    <row r="1060" spans="7:18" hidden="1" x14ac:dyDescent="0.35">
      <c r="G1060" s="321">
        <v>44775</v>
      </c>
      <c r="H1060" s="321"/>
      <c r="I1060" s="321"/>
      <c r="R1060" s="323" t="s">
        <v>1165</v>
      </c>
    </row>
    <row r="1061" spans="7:18" hidden="1" x14ac:dyDescent="0.35">
      <c r="G1061" s="321">
        <v>44776</v>
      </c>
      <c r="H1061" s="321"/>
      <c r="I1061" s="321"/>
      <c r="R1061" s="323" t="s">
        <v>1166</v>
      </c>
    </row>
    <row r="1062" spans="7:18" hidden="1" x14ac:dyDescent="0.35">
      <c r="G1062" s="321">
        <v>44777</v>
      </c>
      <c r="H1062" s="321"/>
      <c r="I1062" s="321"/>
      <c r="R1062" s="323" t="s">
        <v>1167</v>
      </c>
    </row>
    <row r="1063" spans="7:18" hidden="1" x14ac:dyDescent="0.35">
      <c r="G1063" s="321">
        <v>44778</v>
      </c>
      <c r="H1063" s="321"/>
      <c r="I1063" s="321"/>
      <c r="R1063" s="323" t="s">
        <v>1168</v>
      </c>
    </row>
    <row r="1064" spans="7:18" hidden="1" x14ac:dyDescent="0.35">
      <c r="G1064" s="321">
        <v>44779</v>
      </c>
      <c r="H1064" s="321"/>
      <c r="I1064" s="321"/>
      <c r="R1064" s="323" t="s">
        <v>1169</v>
      </c>
    </row>
    <row r="1065" spans="7:18" hidden="1" x14ac:dyDescent="0.35">
      <c r="G1065" s="321">
        <v>44780</v>
      </c>
      <c r="H1065" s="321"/>
      <c r="I1065" s="321"/>
      <c r="R1065" s="323" t="s">
        <v>1170</v>
      </c>
    </row>
    <row r="1066" spans="7:18" hidden="1" x14ac:dyDescent="0.35">
      <c r="G1066" s="321">
        <v>44781</v>
      </c>
      <c r="H1066" s="321"/>
      <c r="I1066" s="321"/>
      <c r="R1066" s="323" t="s">
        <v>1171</v>
      </c>
    </row>
    <row r="1067" spans="7:18" hidden="1" x14ac:dyDescent="0.35">
      <c r="G1067" s="321">
        <v>44782</v>
      </c>
      <c r="H1067" s="321"/>
      <c r="I1067" s="321"/>
      <c r="R1067" s="323" t="s">
        <v>1172</v>
      </c>
    </row>
    <row r="1068" spans="7:18" hidden="1" x14ac:dyDescent="0.35">
      <c r="G1068" s="321">
        <v>44783</v>
      </c>
      <c r="H1068" s="321"/>
      <c r="I1068" s="321"/>
      <c r="R1068" s="323" t="s">
        <v>1173</v>
      </c>
    </row>
    <row r="1069" spans="7:18" hidden="1" x14ac:dyDescent="0.35">
      <c r="G1069" s="321">
        <v>44784</v>
      </c>
      <c r="H1069" s="321"/>
      <c r="I1069" s="321"/>
      <c r="R1069" s="323" t="s">
        <v>1174</v>
      </c>
    </row>
    <row r="1070" spans="7:18" hidden="1" x14ac:dyDescent="0.35">
      <c r="G1070" s="321">
        <v>44785</v>
      </c>
      <c r="H1070" s="321"/>
      <c r="I1070" s="321"/>
      <c r="R1070" s="323" t="s">
        <v>1175</v>
      </c>
    </row>
    <row r="1071" spans="7:18" hidden="1" x14ac:dyDescent="0.35">
      <c r="G1071" s="321">
        <v>44786</v>
      </c>
      <c r="H1071" s="321"/>
      <c r="I1071" s="321"/>
      <c r="R1071" s="323" t="s">
        <v>1176</v>
      </c>
    </row>
    <row r="1072" spans="7:18" hidden="1" x14ac:dyDescent="0.35">
      <c r="G1072" s="321">
        <v>44787</v>
      </c>
      <c r="H1072" s="321"/>
      <c r="I1072" s="321"/>
      <c r="R1072" s="323" t="s">
        <v>1177</v>
      </c>
    </row>
    <row r="1073" spans="7:18" hidden="1" x14ac:dyDescent="0.35">
      <c r="G1073" s="321">
        <v>44788</v>
      </c>
      <c r="H1073" s="321"/>
      <c r="I1073" s="321"/>
      <c r="R1073" s="323" t="s">
        <v>1178</v>
      </c>
    </row>
    <row r="1074" spans="7:18" hidden="1" x14ac:dyDescent="0.35">
      <c r="G1074" s="321">
        <v>44789</v>
      </c>
      <c r="H1074" s="321"/>
      <c r="I1074" s="321"/>
      <c r="R1074" s="323" t="s">
        <v>1179</v>
      </c>
    </row>
    <row r="1075" spans="7:18" hidden="1" x14ac:dyDescent="0.35">
      <c r="G1075" s="321">
        <v>44790</v>
      </c>
      <c r="H1075" s="321"/>
      <c r="I1075" s="321"/>
      <c r="R1075" s="323" t="s">
        <v>1180</v>
      </c>
    </row>
    <row r="1076" spans="7:18" hidden="1" x14ac:dyDescent="0.35">
      <c r="G1076" s="321">
        <v>44791</v>
      </c>
      <c r="H1076" s="321"/>
      <c r="I1076" s="321"/>
      <c r="R1076" s="323" t="s">
        <v>1181</v>
      </c>
    </row>
    <row r="1077" spans="7:18" hidden="1" x14ac:dyDescent="0.35">
      <c r="G1077" s="321">
        <v>44792</v>
      </c>
      <c r="H1077" s="321"/>
      <c r="I1077" s="321"/>
      <c r="R1077" s="323" t="s">
        <v>1182</v>
      </c>
    </row>
    <row r="1078" spans="7:18" hidden="1" x14ac:dyDescent="0.35">
      <c r="G1078" s="321">
        <v>44793</v>
      </c>
      <c r="H1078" s="321"/>
      <c r="I1078" s="321"/>
      <c r="R1078" s="323" t="s">
        <v>1183</v>
      </c>
    </row>
    <row r="1079" spans="7:18" hidden="1" x14ac:dyDescent="0.35">
      <c r="G1079" s="321">
        <v>44794</v>
      </c>
      <c r="H1079" s="321"/>
      <c r="I1079" s="321"/>
      <c r="R1079" s="323" t="s">
        <v>1184</v>
      </c>
    </row>
    <row r="1080" spans="7:18" hidden="1" x14ac:dyDescent="0.35">
      <c r="G1080" s="321">
        <v>44795</v>
      </c>
      <c r="H1080" s="321"/>
      <c r="I1080" s="321"/>
      <c r="R1080" s="323" t="s">
        <v>1185</v>
      </c>
    </row>
    <row r="1081" spans="7:18" hidden="1" x14ac:dyDescent="0.35">
      <c r="G1081" s="321">
        <v>44796</v>
      </c>
      <c r="H1081" s="321"/>
      <c r="I1081" s="321"/>
      <c r="R1081" s="323" t="s">
        <v>1186</v>
      </c>
    </row>
    <row r="1082" spans="7:18" hidden="1" x14ac:dyDescent="0.35">
      <c r="G1082" s="321">
        <v>44797</v>
      </c>
      <c r="H1082" s="321"/>
      <c r="I1082" s="321"/>
      <c r="R1082" s="323" t="s">
        <v>1187</v>
      </c>
    </row>
    <row r="1083" spans="7:18" hidden="1" x14ac:dyDescent="0.35">
      <c r="G1083" s="321">
        <v>44798</v>
      </c>
      <c r="H1083" s="321"/>
      <c r="I1083" s="321"/>
      <c r="R1083" s="323" t="s">
        <v>1188</v>
      </c>
    </row>
    <row r="1084" spans="7:18" hidden="1" x14ac:dyDescent="0.35">
      <c r="G1084" s="321">
        <v>44799</v>
      </c>
      <c r="H1084" s="321"/>
      <c r="I1084" s="321"/>
      <c r="R1084" s="323" t="s">
        <v>1189</v>
      </c>
    </row>
    <row r="1085" spans="7:18" hidden="1" x14ac:dyDescent="0.35">
      <c r="G1085" s="321">
        <v>44800</v>
      </c>
      <c r="H1085" s="321"/>
      <c r="I1085" s="321"/>
      <c r="R1085" s="323" t="s">
        <v>1190</v>
      </c>
    </row>
    <row r="1086" spans="7:18" hidden="1" x14ac:dyDescent="0.35">
      <c r="G1086" s="321">
        <v>44801</v>
      </c>
      <c r="H1086" s="321"/>
      <c r="I1086" s="321"/>
      <c r="R1086" s="323" t="s">
        <v>1191</v>
      </c>
    </row>
    <row r="1087" spans="7:18" hidden="1" x14ac:dyDescent="0.35">
      <c r="G1087" s="321">
        <v>44802</v>
      </c>
      <c r="H1087" s="321"/>
      <c r="I1087" s="321"/>
      <c r="R1087" s="323" t="s">
        <v>1192</v>
      </c>
    </row>
    <row r="1088" spans="7:18" hidden="1" x14ac:dyDescent="0.35">
      <c r="G1088" s="321">
        <v>44803</v>
      </c>
      <c r="H1088" s="321"/>
      <c r="I1088" s="321"/>
      <c r="R1088" s="323" t="s">
        <v>1193</v>
      </c>
    </row>
    <row r="1089" spans="7:18" hidden="1" x14ac:dyDescent="0.35">
      <c r="G1089" s="321">
        <v>44804</v>
      </c>
      <c r="H1089" s="321"/>
      <c r="I1089" s="321"/>
      <c r="R1089" s="323" t="s">
        <v>1194</v>
      </c>
    </row>
    <row r="1090" spans="7:18" hidden="1" x14ac:dyDescent="0.35">
      <c r="G1090" s="321">
        <v>44805</v>
      </c>
      <c r="H1090" s="321"/>
      <c r="I1090" s="321"/>
      <c r="R1090" s="323" t="s">
        <v>1195</v>
      </c>
    </row>
    <row r="1091" spans="7:18" hidden="1" x14ac:dyDescent="0.35">
      <c r="G1091" s="321">
        <v>44806</v>
      </c>
      <c r="H1091" s="321"/>
      <c r="I1091" s="321"/>
      <c r="R1091" s="323" t="s">
        <v>1196</v>
      </c>
    </row>
    <row r="1092" spans="7:18" hidden="1" x14ac:dyDescent="0.35">
      <c r="G1092" s="321">
        <v>44807</v>
      </c>
      <c r="H1092" s="321"/>
      <c r="I1092" s="321"/>
      <c r="R1092" s="323" t="s">
        <v>1197</v>
      </c>
    </row>
    <row r="1093" spans="7:18" hidden="1" x14ac:dyDescent="0.35">
      <c r="G1093" s="321">
        <v>44808</v>
      </c>
      <c r="H1093" s="321"/>
      <c r="I1093" s="321"/>
      <c r="R1093" s="323" t="s">
        <v>1198</v>
      </c>
    </row>
    <row r="1094" spans="7:18" hidden="1" x14ac:dyDescent="0.35">
      <c r="G1094" s="321">
        <v>44809</v>
      </c>
      <c r="H1094" s="321"/>
      <c r="I1094" s="321"/>
      <c r="R1094" s="323" t="s">
        <v>1199</v>
      </c>
    </row>
    <row r="1095" spans="7:18" hidden="1" x14ac:dyDescent="0.35">
      <c r="G1095" s="321">
        <v>44810</v>
      </c>
      <c r="H1095" s="321"/>
      <c r="I1095" s="321"/>
      <c r="R1095" s="323" t="s">
        <v>1200</v>
      </c>
    </row>
    <row r="1096" spans="7:18" hidden="1" x14ac:dyDescent="0.35">
      <c r="G1096" s="321">
        <v>44811</v>
      </c>
      <c r="H1096" s="321"/>
      <c r="I1096" s="321"/>
      <c r="R1096" s="323" t="s">
        <v>1201</v>
      </c>
    </row>
    <row r="1097" spans="7:18" hidden="1" x14ac:dyDescent="0.35">
      <c r="G1097" s="321">
        <v>44812</v>
      </c>
      <c r="H1097" s="321"/>
      <c r="I1097" s="321"/>
      <c r="R1097" s="323" t="s">
        <v>1202</v>
      </c>
    </row>
    <row r="1098" spans="7:18" hidden="1" x14ac:dyDescent="0.35">
      <c r="G1098" s="321">
        <v>44813</v>
      </c>
      <c r="H1098" s="321"/>
      <c r="I1098" s="321"/>
      <c r="R1098" s="323" t="s">
        <v>1203</v>
      </c>
    </row>
    <row r="1099" spans="7:18" hidden="1" x14ac:dyDescent="0.35">
      <c r="G1099" s="321">
        <v>44814</v>
      </c>
      <c r="H1099" s="321"/>
      <c r="I1099" s="321"/>
      <c r="R1099" s="323" t="s">
        <v>1204</v>
      </c>
    </row>
    <row r="1100" spans="7:18" hidden="1" x14ac:dyDescent="0.35">
      <c r="G1100" s="321">
        <v>44815</v>
      </c>
      <c r="H1100" s="321"/>
      <c r="I1100" s="321"/>
      <c r="R1100" s="323" t="s">
        <v>1205</v>
      </c>
    </row>
    <row r="1101" spans="7:18" hidden="1" x14ac:dyDescent="0.35">
      <c r="G1101" s="321">
        <v>44816</v>
      </c>
      <c r="H1101" s="321"/>
      <c r="I1101" s="321"/>
      <c r="R1101" s="323" t="s">
        <v>1206</v>
      </c>
    </row>
    <row r="1102" spans="7:18" hidden="1" x14ac:dyDescent="0.35">
      <c r="G1102" s="321">
        <v>44817</v>
      </c>
      <c r="H1102" s="321"/>
      <c r="I1102" s="321"/>
      <c r="R1102" s="323" t="s">
        <v>1207</v>
      </c>
    </row>
    <row r="1103" spans="7:18" hidden="1" x14ac:dyDescent="0.35">
      <c r="G1103" s="321">
        <v>44818</v>
      </c>
      <c r="H1103" s="321"/>
      <c r="I1103" s="321"/>
      <c r="R1103" s="323" t="s">
        <v>1208</v>
      </c>
    </row>
    <row r="1104" spans="7:18" hidden="1" x14ac:dyDescent="0.35">
      <c r="G1104" s="321">
        <v>44819</v>
      </c>
      <c r="H1104" s="321"/>
      <c r="I1104" s="321"/>
      <c r="R1104" s="323" t="s">
        <v>1209</v>
      </c>
    </row>
    <row r="1105" spans="7:18" hidden="1" x14ac:dyDescent="0.35">
      <c r="G1105" s="321">
        <v>44820</v>
      </c>
      <c r="H1105" s="321"/>
      <c r="I1105" s="321"/>
      <c r="R1105" s="323" t="s">
        <v>1210</v>
      </c>
    </row>
    <row r="1106" spans="7:18" hidden="1" x14ac:dyDescent="0.35">
      <c r="G1106" s="321">
        <v>44821</v>
      </c>
      <c r="H1106" s="321"/>
      <c r="I1106" s="321"/>
      <c r="R1106" s="323" t="s">
        <v>1211</v>
      </c>
    </row>
    <row r="1107" spans="7:18" hidden="1" x14ac:dyDescent="0.35">
      <c r="G1107" s="321">
        <v>44822</v>
      </c>
      <c r="H1107" s="321"/>
      <c r="I1107" s="321"/>
      <c r="R1107" s="323" t="s">
        <v>1212</v>
      </c>
    </row>
    <row r="1108" spans="7:18" hidden="1" x14ac:dyDescent="0.35">
      <c r="G1108" s="321">
        <v>44823</v>
      </c>
      <c r="H1108" s="321"/>
      <c r="I1108" s="321"/>
      <c r="R1108" s="323" t="s">
        <v>1213</v>
      </c>
    </row>
    <row r="1109" spans="7:18" hidden="1" x14ac:dyDescent="0.35">
      <c r="G1109" s="321">
        <v>44824</v>
      </c>
      <c r="H1109" s="321"/>
      <c r="I1109" s="321"/>
      <c r="R1109" s="323" t="s">
        <v>1214</v>
      </c>
    </row>
    <row r="1110" spans="7:18" hidden="1" x14ac:dyDescent="0.35">
      <c r="G1110" s="321">
        <v>44825</v>
      </c>
      <c r="H1110" s="321"/>
      <c r="I1110" s="321"/>
      <c r="R1110" s="323" t="s">
        <v>1215</v>
      </c>
    </row>
    <row r="1111" spans="7:18" hidden="1" x14ac:dyDescent="0.35">
      <c r="G1111" s="321">
        <v>44826</v>
      </c>
      <c r="H1111" s="321"/>
      <c r="I1111" s="321"/>
      <c r="R1111" s="323" t="s">
        <v>1216</v>
      </c>
    </row>
    <row r="1112" spans="7:18" hidden="1" x14ac:dyDescent="0.35">
      <c r="G1112" s="321">
        <v>44827</v>
      </c>
      <c r="H1112" s="321"/>
      <c r="I1112" s="321"/>
      <c r="R1112" s="323" t="s">
        <v>1217</v>
      </c>
    </row>
    <row r="1113" spans="7:18" hidden="1" x14ac:dyDescent="0.35">
      <c r="G1113" s="321">
        <v>44828</v>
      </c>
      <c r="H1113" s="321"/>
      <c r="I1113" s="321"/>
      <c r="R1113" s="323" t="s">
        <v>1218</v>
      </c>
    </row>
    <row r="1114" spans="7:18" hidden="1" x14ac:dyDescent="0.35">
      <c r="G1114" s="321">
        <v>44829</v>
      </c>
      <c r="H1114" s="321"/>
      <c r="I1114" s="321"/>
      <c r="R1114" s="323" t="s">
        <v>1219</v>
      </c>
    </row>
    <row r="1115" spans="7:18" hidden="1" x14ac:dyDescent="0.35">
      <c r="G1115" s="321">
        <v>44830</v>
      </c>
      <c r="H1115" s="321"/>
      <c r="I1115" s="321"/>
      <c r="R1115" s="323" t="s">
        <v>1220</v>
      </c>
    </row>
    <row r="1116" spans="7:18" hidden="1" x14ac:dyDescent="0.35">
      <c r="G1116" s="321">
        <v>44831</v>
      </c>
      <c r="H1116" s="321"/>
      <c r="I1116" s="321"/>
    </row>
    <row r="1117" spans="7:18" hidden="1" x14ac:dyDescent="0.35">
      <c r="G1117" s="321">
        <v>44832</v>
      </c>
      <c r="H1117" s="321"/>
      <c r="I1117" s="321"/>
    </row>
    <row r="1118" spans="7:18" hidden="1" x14ac:dyDescent="0.35">
      <c r="G1118" s="321">
        <v>44833</v>
      </c>
      <c r="H1118" s="321"/>
      <c r="I1118" s="321"/>
    </row>
    <row r="1119" spans="7:18" hidden="1" x14ac:dyDescent="0.35">
      <c r="G1119" s="321">
        <v>44834</v>
      </c>
      <c r="H1119" s="321"/>
      <c r="I1119" s="321"/>
    </row>
    <row r="1120" spans="7:18" hidden="1" x14ac:dyDescent="0.35">
      <c r="G1120" s="321">
        <v>44835</v>
      </c>
      <c r="H1120" s="321"/>
      <c r="I1120" s="321"/>
    </row>
    <row r="1121" spans="7:9" hidden="1" x14ac:dyDescent="0.35">
      <c r="G1121" s="321">
        <v>44836</v>
      </c>
      <c r="H1121" s="321"/>
      <c r="I1121" s="321"/>
    </row>
    <row r="1122" spans="7:9" hidden="1" x14ac:dyDescent="0.35">
      <c r="G1122" s="321">
        <v>44837</v>
      </c>
      <c r="H1122" s="321"/>
      <c r="I1122" s="321"/>
    </row>
    <row r="1123" spans="7:9" hidden="1" x14ac:dyDescent="0.35">
      <c r="G1123" s="321">
        <v>44838</v>
      </c>
      <c r="H1123" s="321"/>
      <c r="I1123" s="321"/>
    </row>
    <row r="1124" spans="7:9" hidden="1" x14ac:dyDescent="0.35">
      <c r="G1124" s="321">
        <v>44839</v>
      </c>
      <c r="H1124" s="321"/>
      <c r="I1124" s="321"/>
    </row>
    <row r="1125" spans="7:9" hidden="1" x14ac:dyDescent="0.35">
      <c r="G1125" s="321">
        <v>44840</v>
      </c>
      <c r="H1125" s="321"/>
      <c r="I1125" s="321"/>
    </row>
    <row r="1126" spans="7:9" hidden="1" x14ac:dyDescent="0.35">
      <c r="G1126" s="321">
        <v>44841</v>
      </c>
      <c r="H1126" s="321"/>
      <c r="I1126" s="321"/>
    </row>
    <row r="1127" spans="7:9" hidden="1" x14ac:dyDescent="0.35">
      <c r="G1127" s="321">
        <v>44842</v>
      </c>
      <c r="H1127" s="321"/>
      <c r="I1127" s="321"/>
    </row>
    <row r="1128" spans="7:9" hidden="1" x14ac:dyDescent="0.35">
      <c r="G1128" s="321">
        <v>44843</v>
      </c>
      <c r="H1128" s="321"/>
      <c r="I1128" s="321"/>
    </row>
    <row r="1129" spans="7:9" hidden="1" x14ac:dyDescent="0.35">
      <c r="G1129" s="321">
        <v>44844</v>
      </c>
      <c r="H1129" s="321"/>
      <c r="I1129" s="321"/>
    </row>
    <row r="1130" spans="7:9" hidden="1" x14ac:dyDescent="0.35">
      <c r="G1130" s="321">
        <v>44845</v>
      </c>
      <c r="H1130" s="321"/>
      <c r="I1130" s="321"/>
    </row>
    <row r="1131" spans="7:9" hidden="1" x14ac:dyDescent="0.35">
      <c r="G1131" s="321">
        <v>44846</v>
      </c>
      <c r="H1131" s="321"/>
      <c r="I1131" s="321"/>
    </row>
    <row r="1132" spans="7:9" hidden="1" x14ac:dyDescent="0.35">
      <c r="G1132" s="321">
        <v>44847</v>
      </c>
      <c r="H1132" s="321"/>
      <c r="I1132" s="321"/>
    </row>
    <row r="1133" spans="7:9" hidden="1" x14ac:dyDescent="0.35">
      <c r="G1133" s="321">
        <v>44848</v>
      </c>
      <c r="H1133" s="321"/>
      <c r="I1133" s="321"/>
    </row>
    <row r="1134" spans="7:9" hidden="1" x14ac:dyDescent="0.35">
      <c r="G1134" s="321">
        <v>44849</v>
      </c>
      <c r="H1134" s="321"/>
      <c r="I1134" s="321"/>
    </row>
    <row r="1135" spans="7:9" hidden="1" x14ac:dyDescent="0.35">
      <c r="G1135" s="321">
        <v>44850</v>
      </c>
      <c r="H1135" s="321"/>
      <c r="I1135" s="321"/>
    </row>
    <row r="1136" spans="7:9" hidden="1" x14ac:dyDescent="0.35">
      <c r="G1136" s="321">
        <v>44851</v>
      </c>
      <c r="H1136" s="321"/>
      <c r="I1136" s="321"/>
    </row>
    <row r="1137" spans="7:9" hidden="1" x14ac:dyDescent="0.35">
      <c r="G1137" s="321">
        <v>44852</v>
      </c>
      <c r="H1137" s="321"/>
      <c r="I1137" s="321"/>
    </row>
    <row r="1138" spans="7:9" hidden="1" x14ac:dyDescent="0.35">
      <c r="G1138" s="321">
        <v>44853</v>
      </c>
      <c r="H1138" s="321"/>
      <c r="I1138" s="321"/>
    </row>
    <row r="1139" spans="7:9" hidden="1" x14ac:dyDescent="0.35">
      <c r="G1139" s="321">
        <v>44854</v>
      </c>
      <c r="H1139" s="321"/>
      <c r="I1139" s="321"/>
    </row>
    <row r="1140" spans="7:9" hidden="1" x14ac:dyDescent="0.35">
      <c r="G1140" s="321">
        <v>44855</v>
      </c>
      <c r="H1140" s="321"/>
      <c r="I1140" s="321"/>
    </row>
    <row r="1141" spans="7:9" hidden="1" x14ac:dyDescent="0.35">
      <c r="G1141" s="321">
        <v>44856</v>
      </c>
      <c r="H1141" s="321"/>
      <c r="I1141" s="321"/>
    </row>
    <row r="1142" spans="7:9" hidden="1" x14ac:dyDescent="0.35">
      <c r="G1142" s="321">
        <v>44857</v>
      </c>
      <c r="H1142" s="321"/>
      <c r="I1142" s="321"/>
    </row>
    <row r="1143" spans="7:9" hidden="1" x14ac:dyDescent="0.35">
      <c r="G1143" s="321">
        <v>44858</v>
      </c>
      <c r="H1143" s="321"/>
      <c r="I1143" s="321"/>
    </row>
    <row r="1144" spans="7:9" hidden="1" x14ac:dyDescent="0.35">
      <c r="G1144" s="321">
        <v>44859</v>
      </c>
      <c r="H1144" s="321"/>
      <c r="I1144" s="321"/>
    </row>
    <row r="1145" spans="7:9" hidden="1" x14ac:dyDescent="0.35">
      <c r="G1145" s="321">
        <v>44860</v>
      </c>
      <c r="H1145" s="321"/>
      <c r="I1145" s="321"/>
    </row>
    <row r="1146" spans="7:9" hidden="1" x14ac:dyDescent="0.35">
      <c r="G1146" s="321">
        <v>44861</v>
      </c>
      <c r="H1146" s="321"/>
      <c r="I1146" s="321"/>
    </row>
    <row r="1147" spans="7:9" hidden="1" x14ac:dyDescent="0.35">
      <c r="G1147" s="321">
        <v>44862</v>
      </c>
      <c r="H1147" s="321"/>
      <c r="I1147" s="321"/>
    </row>
    <row r="1148" spans="7:9" hidden="1" x14ac:dyDescent="0.35">
      <c r="G1148" s="321">
        <v>44863</v>
      </c>
      <c r="H1148" s="321"/>
      <c r="I1148" s="321"/>
    </row>
    <row r="1149" spans="7:9" hidden="1" x14ac:dyDescent="0.35">
      <c r="G1149" s="321">
        <v>44864</v>
      </c>
      <c r="H1149" s="321"/>
      <c r="I1149" s="321"/>
    </row>
    <row r="1150" spans="7:9" hidden="1" x14ac:dyDescent="0.35">
      <c r="G1150" s="321">
        <v>44865</v>
      </c>
      <c r="H1150" s="321"/>
      <c r="I1150" s="321"/>
    </row>
    <row r="1151" spans="7:9" hidden="1" x14ac:dyDescent="0.35">
      <c r="G1151" s="321">
        <v>44866</v>
      </c>
      <c r="H1151" s="321"/>
      <c r="I1151" s="321"/>
    </row>
    <row r="1152" spans="7:9" hidden="1" x14ac:dyDescent="0.35">
      <c r="G1152" s="321">
        <v>44867</v>
      </c>
      <c r="H1152" s="321"/>
      <c r="I1152" s="321"/>
    </row>
    <row r="1153" spans="7:9" hidden="1" x14ac:dyDescent="0.35">
      <c r="G1153" s="321">
        <v>44868</v>
      </c>
      <c r="H1153" s="321"/>
      <c r="I1153" s="321"/>
    </row>
    <row r="1154" spans="7:9" hidden="1" x14ac:dyDescent="0.35">
      <c r="G1154" s="321">
        <v>44869</v>
      </c>
      <c r="H1154" s="321"/>
      <c r="I1154" s="321"/>
    </row>
    <row r="1155" spans="7:9" hidden="1" x14ac:dyDescent="0.35">
      <c r="G1155" s="321">
        <v>44870</v>
      </c>
      <c r="H1155" s="321"/>
      <c r="I1155" s="321"/>
    </row>
    <row r="1156" spans="7:9" hidden="1" x14ac:dyDescent="0.35">
      <c r="G1156" s="321">
        <v>44871</v>
      </c>
      <c r="H1156" s="321"/>
      <c r="I1156" s="321"/>
    </row>
    <row r="1157" spans="7:9" hidden="1" x14ac:dyDescent="0.35">
      <c r="G1157" s="321">
        <v>44872</v>
      </c>
      <c r="H1157" s="321"/>
      <c r="I1157" s="321"/>
    </row>
    <row r="1158" spans="7:9" hidden="1" x14ac:dyDescent="0.35">
      <c r="G1158" s="321">
        <v>44873</v>
      </c>
      <c r="H1158" s="321"/>
      <c r="I1158" s="321"/>
    </row>
    <row r="1159" spans="7:9" hidden="1" x14ac:dyDescent="0.35">
      <c r="G1159" s="321">
        <v>44874</v>
      </c>
      <c r="H1159" s="321"/>
      <c r="I1159" s="321"/>
    </row>
    <row r="1160" spans="7:9" hidden="1" x14ac:dyDescent="0.35">
      <c r="G1160" s="321">
        <v>44875</v>
      </c>
      <c r="H1160" s="321"/>
      <c r="I1160" s="321"/>
    </row>
    <row r="1161" spans="7:9" hidden="1" x14ac:dyDescent="0.35">
      <c r="G1161" s="321">
        <v>44876</v>
      </c>
      <c r="H1161" s="321"/>
      <c r="I1161" s="321"/>
    </row>
    <row r="1162" spans="7:9" hidden="1" x14ac:dyDescent="0.35">
      <c r="G1162" s="321">
        <v>44877</v>
      </c>
      <c r="H1162" s="321"/>
      <c r="I1162" s="321"/>
    </row>
    <row r="1163" spans="7:9" hidden="1" x14ac:dyDescent="0.35">
      <c r="G1163" s="321">
        <v>44878</v>
      </c>
      <c r="H1163" s="321"/>
      <c r="I1163" s="321"/>
    </row>
    <row r="1164" spans="7:9" hidden="1" x14ac:dyDescent="0.35">
      <c r="G1164" s="321">
        <v>44879</v>
      </c>
      <c r="H1164" s="321"/>
      <c r="I1164" s="321"/>
    </row>
    <row r="1165" spans="7:9" hidden="1" x14ac:dyDescent="0.35">
      <c r="G1165" s="321">
        <v>44880</v>
      </c>
      <c r="H1165" s="321"/>
      <c r="I1165" s="321"/>
    </row>
    <row r="1166" spans="7:9" hidden="1" x14ac:dyDescent="0.35">
      <c r="G1166" s="321">
        <v>44881</v>
      </c>
      <c r="H1166" s="321"/>
      <c r="I1166" s="321"/>
    </row>
    <row r="1167" spans="7:9" hidden="1" x14ac:dyDescent="0.35">
      <c r="G1167" s="321">
        <v>44882</v>
      </c>
      <c r="H1167" s="321"/>
      <c r="I1167" s="321"/>
    </row>
    <row r="1168" spans="7:9" hidden="1" x14ac:dyDescent="0.35">
      <c r="G1168" s="321">
        <v>44883</v>
      </c>
      <c r="H1168" s="321"/>
      <c r="I1168" s="321"/>
    </row>
    <row r="1169" spans="7:9" hidden="1" x14ac:dyDescent="0.35">
      <c r="G1169" s="321">
        <v>44884</v>
      </c>
      <c r="H1169" s="321"/>
      <c r="I1169" s="321"/>
    </row>
    <row r="1170" spans="7:9" hidden="1" x14ac:dyDescent="0.35">
      <c r="G1170" s="321">
        <v>44885</v>
      </c>
      <c r="H1170" s="321"/>
      <c r="I1170" s="321"/>
    </row>
    <row r="1171" spans="7:9" hidden="1" x14ac:dyDescent="0.35">
      <c r="G1171" s="321">
        <v>44886</v>
      </c>
      <c r="H1171" s="321"/>
      <c r="I1171" s="321"/>
    </row>
    <row r="1172" spans="7:9" hidden="1" x14ac:dyDescent="0.35">
      <c r="G1172" s="321">
        <v>44887</v>
      </c>
      <c r="H1172" s="321"/>
      <c r="I1172" s="321"/>
    </row>
    <row r="1173" spans="7:9" hidden="1" x14ac:dyDescent="0.35">
      <c r="G1173" s="321">
        <v>44888</v>
      </c>
      <c r="H1173" s="321"/>
      <c r="I1173" s="321"/>
    </row>
    <row r="1174" spans="7:9" hidden="1" x14ac:dyDescent="0.35">
      <c r="G1174" s="321">
        <v>44889</v>
      </c>
      <c r="H1174" s="321"/>
      <c r="I1174" s="321"/>
    </row>
    <row r="1175" spans="7:9" hidden="1" x14ac:dyDescent="0.35">
      <c r="G1175" s="321">
        <v>44890</v>
      </c>
      <c r="H1175" s="321"/>
      <c r="I1175" s="321"/>
    </row>
    <row r="1176" spans="7:9" hidden="1" x14ac:dyDescent="0.35">
      <c r="G1176" s="321">
        <v>44891</v>
      </c>
      <c r="H1176" s="321"/>
      <c r="I1176" s="321"/>
    </row>
    <row r="1177" spans="7:9" hidden="1" x14ac:dyDescent="0.35">
      <c r="G1177" s="321">
        <v>44892</v>
      </c>
      <c r="H1177" s="321"/>
      <c r="I1177" s="321"/>
    </row>
    <row r="1178" spans="7:9" hidden="1" x14ac:dyDescent="0.35">
      <c r="G1178" s="321">
        <v>44893</v>
      </c>
      <c r="H1178" s="321"/>
      <c r="I1178" s="321"/>
    </row>
    <row r="1179" spans="7:9" hidden="1" x14ac:dyDescent="0.35">
      <c r="G1179" s="321">
        <v>44894</v>
      </c>
      <c r="H1179" s="321"/>
      <c r="I1179" s="321"/>
    </row>
    <row r="1180" spans="7:9" hidden="1" x14ac:dyDescent="0.35">
      <c r="G1180" s="321">
        <v>44895</v>
      </c>
      <c r="H1180" s="321"/>
      <c r="I1180" s="321"/>
    </row>
    <row r="1181" spans="7:9" hidden="1" x14ac:dyDescent="0.35">
      <c r="G1181" s="321">
        <v>44896</v>
      </c>
      <c r="H1181" s="321"/>
      <c r="I1181" s="321"/>
    </row>
    <row r="1182" spans="7:9" hidden="1" x14ac:dyDescent="0.35">
      <c r="G1182" s="321">
        <v>44897</v>
      </c>
      <c r="H1182" s="321"/>
      <c r="I1182" s="321"/>
    </row>
    <row r="1183" spans="7:9" hidden="1" x14ac:dyDescent="0.35">
      <c r="G1183" s="321">
        <v>44898</v>
      </c>
      <c r="H1183" s="321"/>
      <c r="I1183" s="321"/>
    </row>
    <row r="1184" spans="7:9" hidden="1" x14ac:dyDescent="0.35">
      <c r="G1184" s="321">
        <v>44899</v>
      </c>
      <c r="H1184" s="321"/>
      <c r="I1184" s="321"/>
    </row>
    <row r="1185" spans="7:9" hidden="1" x14ac:dyDescent="0.35">
      <c r="G1185" s="321">
        <v>44900</v>
      </c>
      <c r="H1185" s="321"/>
      <c r="I1185" s="321"/>
    </row>
    <row r="1186" spans="7:9" hidden="1" x14ac:dyDescent="0.35">
      <c r="G1186" s="321">
        <v>44901</v>
      </c>
      <c r="H1186" s="321"/>
      <c r="I1186" s="321"/>
    </row>
    <row r="1187" spans="7:9" hidden="1" x14ac:dyDescent="0.35">
      <c r="G1187" s="321">
        <v>44902</v>
      </c>
      <c r="H1187" s="321"/>
      <c r="I1187" s="321"/>
    </row>
    <row r="1188" spans="7:9" hidden="1" x14ac:dyDescent="0.35">
      <c r="G1188" s="321">
        <v>44903</v>
      </c>
      <c r="H1188" s="321"/>
      <c r="I1188" s="321"/>
    </row>
    <row r="1189" spans="7:9" hidden="1" x14ac:dyDescent="0.35">
      <c r="G1189" s="321">
        <v>44904</v>
      </c>
      <c r="H1189" s="321"/>
      <c r="I1189" s="321"/>
    </row>
    <row r="1190" spans="7:9" hidden="1" x14ac:dyDescent="0.35">
      <c r="G1190" s="321">
        <v>44905</v>
      </c>
      <c r="H1190" s="321"/>
      <c r="I1190" s="321"/>
    </row>
    <row r="1191" spans="7:9" hidden="1" x14ac:dyDescent="0.35">
      <c r="G1191" s="321">
        <v>44906</v>
      </c>
      <c r="H1191" s="321"/>
      <c r="I1191" s="321"/>
    </row>
    <row r="1192" spans="7:9" hidden="1" x14ac:dyDescent="0.35">
      <c r="G1192" s="321">
        <v>44907</v>
      </c>
      <c r="H1192" s="321"/>
      <c r="I1192" s="321"/>
    </row>
    <row r="1193" spans="7:9" hidden="1" x14ac:dyDescent="0.35">
      <c r="G1193" s="321">
        <v>44908</v>
      </c>
      <c r="H1193" s="321"/>
      <c r="I1193" s="321"/>
    </row>
    <row r="1194" spans="7:9" hidden="1" x14ac:dyDescent="0.35">
      <c r="G1194" s="321">
        <v>44909</v>
      </c>
      <c r="H1194" s="321"/>
      <c r="I1194" s="321"/>
    </row>
    <row r="1195" spans="7:9" hidden="1" x14ac:dyDescent="0.35">
      <c r="G1195" s="321">
        <v>44910</v>
      </c>
      <c r="H1195" s="321"/>
      <c r="I1195" s="321"/>
    </row>
    <row r="1196" spans="7:9" hidden="1" x14ac:dyDescent="0.35">
      <c r="G1196" s="321">
        <v>44911</v>
      </c>
      <c r="H1196" s="321"/>
      <c r="I1196" s="321"/>
    </row>
    <row r="1197" spans="7:9" hidden="1" x14ac:dyDescent="0.35">
      <c r="G1197" s="321">
        <v>44912</v>
      </c>
      <c r="H1197" s="321"/>
      <c r="I1197" s="321"/>
    </row>
    <row r="1198" spans="7:9" hidden="1" x14ac:dyDescent="0.35">
      <c r="G1198" s="321">
        <v>44913</v>
      </c>
      <c r="H1198" s="321"/>
      <c r="I1198" s="321"/>
    </row>
    <row r="1199" spans="7:9" hidden="1" x14ac:dyDescent="0.35">
      <c r="G1199" s="321">
        <v>44914</v>
      </c>
      <c r="H1199" s="321"/>
      <c r="I1199" s="321"/>
    </row>
    <row r="1200" spans="7:9" hidden="1" x14ac:dyDescent="0.35">
      <c r="G1200" s="321">
        <v>44915</v>
      </c>
      <c r="H1200" s="321"/>
      <c r="I1200" s="321"/>
    </row>
    <row r="1201" spans="1:42" hidden="1" x14ac:dyDescent="0.35">
      <c r="G1201" s="321">
        <v>44916</v>
      </c>
      <c r="H1201" s="321"/>
      <c r="I1201" s="321"/>
    </row>
    <row r="1202" spans="1:42" hidden="1" x14ac:dyDescent="0.35">
      <c r="G1202" s="321">
        <v>44917</v>
      </c>
      <c r="H1202" s="321"/>
      <c r="I1202" s="321"/>
    </row>
    <row r="1203" spans="1:42" hidden="1" x14ac:dyDescent="0.35">
      <c r="G1203" s="321">
        <v>44918</v>
      </c>
      <c r="H1203" s="321"/>
      <c r="I1203" s="321"/>
    </row>
    <row r="1204" spans="1:42" hidden="1" x14ac:dyDescent="0.35">
      <c r="G1204" s="321">
        <v>44919</v>
      </c>
      <c r="H1204" s="321"/>
      <c r="I1204" s="321"/>
    </row>
    <row r="1205" spans="1:42" hidden="1" x14ac:dyDescent="0.35">
      <c r="G1205" s="321">
        <v>44920</v>
      </c>
      <c r="H1205" s="321"/>
      <c r="I1205" s="321"/>
    </row>
    <row r="1206" spans="1:42" hidden="1" x14ac:dyDescent="0.35">
      <c r="G1206" s="321">
        <v>44921</v>
      </c>
      <c r="H1206" s="321"/>
      <c r="I1206" s="321"/>
    </row>
    <row r="1207" spans="1:42" hidden="1" x14ac:dyDescent="0.35">
      <c r="G1207" s="321">
        <v>44922</v>
      </c>
      <c r="H1207" s="321"/>
      <c r="I1207" s="321"/>
    </row>
    <row r="1208" spans="1:42" hidden="1" x14ac:dyDescent="0.35">
      <c r="G1208" s="321">
        <v>44923</v>
      </c>
      <c r="H1208" s="321"/>
      <c r="I1208" s="321"/>
    </row>
    <row r="1209" spans="1:42" hidden="1" x14ac:dyDescent="0.35">
      <c r="G1209" s="321">
        <v>44924</v>
      </c>
      <c r="H1209" s="321"/>
      <c r="I1209" s="321"/>
    </row>
    <row r="1210" spans="1:42" hidden="1" x14ac:dyDescent="0.35">
      <c r="G1210" s="321">
        <v>44925</v>
      </c>
      <c r="H1210" s="321"/>
      <c r="I1210" s="321"/>
    </row>
    <row r="1211" spans="1:42" hidden="1" x14ac:dyDescent="0.35">
      <c r="G1211" s="321">
        <v>44926</v>
      </c>
      <c r="H1211" s="321"/>
      <c r="I1211" s="321"/>
    </row>
    <row r="1212" spans="1:42" hidden="1" x14ac:dyDescent="0.35">
      <c r="A1212" s="229"/>
      <c r="B1212" s="229"/>
      <c r="C1212" s="229"/>
      <c r="D1212" s="229"/>
      <c r="E1212" s="229"/>
      <c r="F1212" s="229"/>
      <c r="G1212" s="321">
        <v>44927</v>
      </c>
      <c r="H1212" s="229"/>
      <c r="I1212" s="229"/>
      <c r="J1212" s="229"/>
      <c r="K1212" s="229"/>
      <c r="L1212" s="229"/>
      <c r="M1212" s="229"/>
      <c r="N1212" s="229"/>
      <c r="O1212" s="229"/>
      <c r="P1212" s="229"/>
      <c r="Q1212" s="229"/>
      <c r="R1212" s="229"/>
      <c r="S1212" s="229"/>
      <c r="T1212" s="229"/>
      <c r="U1212" s="229"/>
      <c r="V1212" s="229"/>
      <c r="W1212" s="229"/>
      <c r="X1212" s="229"/>
      <c r="Y1212" s="229"/>
      <c r="Z1212" s="229"/>
      <c r="AA1212" s="229"/>
      <c r="AB1212" s="229"/>
      <c r="AC1212" s="229"/>
      <c r="AD1212" s="229"/>
      <c r="AE1212" s="229"/>
      <c r="AF1212" s="229"/>
      <c r="AG1212" s="229"/>
      <c r="AH1212" s="229"/>
      <c r="AI1212" s="229"/>
      <c r="AJ1212" s="229"/>
      <c r="AK1212" s="229"/>
      <c r="AL1212" s="229"/>
      <c r="AM1212" s="229"/>
      <c r="AN1212" s="229"/>
      <c r="AO1212" s="229"/>
      <c r="AP1212" s="229"/>
    </row>
    <row r="1213" spans="1:42" hidden="1" x14ac:dyDescent="0.35">
      <c r="A1213" s="229"/>
      <c r="B1213" s="229"/>
      <c r="C1213" s="229"/>
      <c r="D1213" s="229"/>
      <c r="E1213" s="229"/>
      <c r="F1213" s="229"/>
      <c r="G1213" s="321">
        <v>44928</v>
      </c>
      <c r="H1213" s="229"/>
      <c r="I1213" s="229"/>
      <c r="J1213" s="229"/>
      <c r="K1213" s="229"/>
      <c r="L1213" s="229"/>
      <c r="M1213" s="229"/>
      <c r="N1213" s="229"/>
      <c r="O1213" s="229"/>
      <c r="P1213" s="229"/>
      <c r="Q1213" s="229"/>
      <c r="R1213" s="229"/>
      <c r="S1213" s="229"/>
      <c r="T1213" s="229"/>
      <c r="U1213" s="229"/>
      <c r="V1213" s="229"/>
      <c r="W1213" s="229"/>
      <c r="X1213" s="229"/>
      <c r="Y1213" s="229"/>
      <c r="Z1213" s="229"/>
      <c r="AA1213" s="229"/>
      <c r="AB1213" s="229"/>
      <c r="AC1213" s="229"/>
      <c r="AD1213" s="229"/>
      <c r="AE1213" s="229"/>
      <c r="AF1213" s="229"/>
      <c r="AG1213" s="229"/>
      <c r="AH1213" s="229"/>
      <c r="AI1213" s="229"/>
      <c r="AJ1213" s="229"/>
      <c r="AK1213" s="229"/>
      <c r="AL1213" s="229"/>
      <c r="AM1213" s="229"/>
      <c r="AN1213" s="229"/>
      <c r="AO1213" s="229"/>
      <c r="AP1213" s="229"/>
    </row>
    <row r="1214" spans="1:42" hidden="1" x14ac:dyDescent="0.35">
      <c r="A1214" s="229"/>
      <c r="B1214" s="229"/>
      <c r="C1214" s="229"/>
      <c r="D1214" s="229"/>
      <c r="E1214" s="229"/>
      <c r="F1214" s="229"/>
      <c r="G1214" s="321">
        <v>44929</v>
      </c>
      <c r="H1214" s="229"/>
      <c r="I1214" s="229"/>
      <c r="J1214" s="229"/>
      <c r="K1214" s="229"/>
      <c r="L1214" s="229"/>
      <c r="M1214" s="229"/>
      <c r="N1214" s="229"/>
      <c r="O1214" s="229"/>
      <c r="P1214" s="229"/>
      <c r="Q1214" s="229"/>
      <c r="R1214" s="229"/>
      <c r="S1214" s="229"/>
      <c r="T1214" s="229"/>
      <c r="U1214" s="229"/>
      <c r="V1214" s="229"/>
      <c r="W1214" s="229"/>
      <c r="X1214" s="229"/>
      <c r="Y1214" s="229"/>
      <c r="Z1214" s="229"/>
      <c r="AA1214" s="229"/>
      <c r="AB1214" s="229"/>
      <c r="AC1214" s="229"/>
      <c r="AD1214" s="229"/>
      <c r="AE1214" s="229"/>
      <c r="AF1214" s="229"/>
      <c r="AG1214" s="229"/>
      <c r="AH1214" s="229"/>
      <c r="AI1214" s="229"/>
      <c r="AJ1214" s="229"/>
      <c r="AK1214" s="229"/>
      <c r="AL1214" s="229"/>
      <c r="AM1214" s="229"/>
      <c r="AN1214" s="229"/>
      <c r="AO1214" s="229"/>
      <c r="AP1214" s="229"/>
    </row>
    <row r="1215" spans="1:42" hidden="1" x14ac:dyDescent="0.35">
      <c r="G1215" s="321">
        <v>44930</v>
      </c>
    </row>
    <row r="1216" spans="1:42" hidden="1" x14ac:dyDescent="0.35">
      <c r="G1216" s="321">
        <v>44931</v>
      </c>
    </row>
    <row r="1217" spans="7:7" hidden="1" x14ac:dyDescent="0.35">
      <c r="G1217" s="321">
        <v>44932</v>
      </c>
    </row>
    <row r="1218" spans="7:7" hidden="1" x14ac:dyDescent="0.35">
      <c r="G1218" s="321">
        <v>44933</v>
      </c>
    </row>
    <row r="1219" spans="7:7" hidden="1" x14ac:dyDescent="0.35">
      <c r="G1219" s="321">
        <v>44934</v>
      </c>
    </row>
    <row r="1220" spans="7:7" hidden="1" x14ac:dyDescent="0.35">
      <c r="G1220" s="321">
        <v>44935</v>
      </c>
    </row>
    <row r="1221" spans="7:7" hidden="1" x14ac:dyDescent="0.35">
      <c r="G1221" s="321">
        <v>44936</v>
      </c>
    </row>
    <row r="1222" spans="7:7" hidden="1" x14ac:dyDescent="0.35">
      <c r="G1222" s="321">
        <v>44937</v>
      </c>
    </row>
    <row r="1223" spans="7:7" hidden="1" x14ac:dyDescent="0.35">
      <c r="G1223" s="321">
        <v>44938</v>
      </c>
    </row>
    <row r="1224" spans="7:7" hidden="1" x14ac:dyDescent="0.35">
      <c r="G1224" s="321">
        <v>44939</v>
      </c>
    </row>
    <row r="1225" spans="7:7" hidden="1" x14ac:dyDescent="0.35">
      <c r="G1225" s="321">
        <v>44940</v>
      </c>
    </row>
    <row r="1226" spans="7:7" hidden="1" x14ac:dyDescent="0.35">
      <c r="G1226" s="321">
        <v>44941</v>
      </c>
    </row>
    <row r="1227" spans="7:7" hidden="1" x14ac:dyDescent="0.35">
      <c r="G1227" s="321">
        <v>44942</v>
      </c>
    </row>
    <row r="1228" spans="7:7" hidden="1" x14ac:dyDescent="0.35">
      <c r="G1228" s="321">
        <v>44943</v>
      </c>
    </row>
    <row r="1229" spans="7:7" hidden="1" x14ac:dyDescent="0.35">
      <c r="G1229" s="321">
        <v>44944</v>
      </c>
    </row>
    <row r="1230" spans="7:7" hidden="1" x14ac:dyDescent="0.35">
      <c r="G1230" s="321">
        <v>44945</v>
      </c>
    </row>
    <row r="1231" spans="7:7" hidden="1" x14ac:dyDescent="0.35">
      <c r="G1231" s="321">
        <v>44946</v>
      </c>
    </row>
    <row r="1232" spans="7:7" hidden="1" x14ac:dyDescent="0.35">
      <c r="G1232" s="321">
        <v>44947</v>
      </c>
    </row>
    <row r="1233" spans="7:7" hidden="1" x14ac:dyDescent="0.35">
      <c r="G1233" s="321">
        <v>44948</v>
      </c>
    </row>
    <row r="1234" spans="7:7" hidden="1" x14ac:dyDescent="0.35">
      <c r="G1234" s="321">
        <v>44949</v>
      </c>
    </row>
    <row r="1235" spans="7:7" hidden="1" x14ac:dyDescent="0.35">
      <c r="G1235" s="321">
        <v>44950</v>
      </c>
    </row>
    <row r="1236" spans="7:7" hidden="1" x14ac:dyDescent="0.35">
      <c r="G1236" s="321">
        <v>44951</v>
      </c>
    </row>
    <row r="1237" spans="7:7" hidden="1" x14ac:dyDescent="0.35">
      <c r="G1237" s="321">
        <v>44952</v>
      </c>
    </row>
    <row r="1238" spans="7:7" hidden="1" x14ac:dyDescent="0.35">
      <c r="G1238" s="321">
        <v>44953</v>
      </c>
    </row>
    <row r="1239" spans="7:7" hidden="1" x14ac:dyDescent="0.35">
      <c r="G1239" s="321">
        <v>44954</v>
      </c>
    </row>
    <row r="1240" spans="7:7" hidden="1" x14ac:dyDescent="0.35">
      <c r="G1240" s="321">
        <v>44955</v>
      </c>
    </row>
    <row r="1241" spans="7:7" hidden="1" x14ac:dyDescent="0.35">
      <c r="G1241" s="321">
        <v>44956</v>
      </c>
    </row>
    <row r="1242" spans="7:7" hidden="1" x14ac:dyDescent="0.35">
      <c r="G1242" s="321">
        <v>44957</v>
      </c>
    </row>
    <row r="1243" spans="7:7" hidden="1" x14ac:dyDescent="0.35">
      <c r="G1243" s="321">
        <v>44958</v>
      </c>
    </row>
    <row r="1244" spans="7:7" hidden="1" x14ac:dyDescent="0.35">
      <c r="G1244" s="321">
        <v>44959</v>
      </c>
    </row>
    <row r="1245" spans="7:7" hidden="1" x14ac:dyDescent="0.35">
      <c r="G1245" s="321">
        <v>44960</v>
      </c>
    </row>
    <row r="1246" spans="7:7" hidden="1" x14ac:dyDescent="0.35">
      <c r="G1246" s="321">
        <v>44961</v>
      </c>
    </row>
    <row r="1247" spans="7:7" hidden="1" x14ac:dyDescent="0.35">
      <c r="G1247" s="321">
        <v>44962</v>
      </c>
    </row>
    <row r="1248" spans="7:7" hidden="1" x14ac:dyDescent="0.35">
      <c r="G1248" s="321">
        <v>44963</v>
      </c>
    </row>
    <row r="1249" spans="7:7" hidden="1" x14ac:dyDescent="0.35">
      <c r="G1249" s="321">
        <v>44964</v>
      </c>
    </row>
    <row r="1250" spans="7:7" hidden="1" x14ac:dyDescent="0.35">
      <c r="G1250" s="321">
        <v>44965</v>
      </c>
    </row>
    <row r="1251" spans="7:7" hidden="1" x14ac:dyDescent="0.35">
      <c r="G1251" s="321">
        <v>44966</v>
      </c>
    </row>
    <row r="1252" spans="7:7" hidden="1" x14ac:dyDescent="0.35">
      <c r="G1252" s="321">
        <v>44967</v>
      </c>
    </row>
    <row r="1253" spans="7:7" hidden="1" x14ac:dyDescent="0.35">
      <c r="G1253" s="321">
        <v>44968</v>
      </c>
    </row>
    <row r="1254" spans="7:7" hidden="1" x14ac:dyDescent="0.35">
      <c r="G1254" s="321">
        <v>44969</v>
      </c>
    </row>
    <row r="1255" spans="7:7" hidden="1" x14ac:dyDescent="0.35">
      <c r="G1255" s="321">
        <v>44970</v>
      </c>
    </row>
    <row r="1256" spans="7:7" hidden="1" x14ac:dyDescent="0.35">
      <c r="G1256" s="321">
        <v>44971</v>
      </c>
    </row>
    <row r="1257" spans="7:7" hidden="1" x14ac:dyDescent="0.35">
      <c r="G1257" s="321">
        <v>44972</v>
      </c>
    </row>
    <row r="1258" spans="7:7" hidden="1" x14ac:dyDescent="0.35">
      <c r="G1258" s="321">
        <v>44973</v>
      </c>
    </row>
    <row r="1259" spans="7:7" hidden="1" x14ac:dyDescent="0.35">
      <c r="G1259" s="321">
        <v>44974</v>
      </c>
    </row>
    <row r="1260" spans="7:7" hidden="1" x14ac:dyDescent="0.35">
      <c r="G1260" s="321">
        <v>44975</v>
      </c>
    </row>
    <row r="1261" spans="7:7" hidden="1" x14ac:dyDescent="0.35">
      <c r="G1261" s="321">
        <v>44976</v>
      </c>
    </row>
    <row r="1262" spans="7:7" hidden="1" x14ac:dyDescent="0.35">
      <c r="G1262" s="321">
        <v>44977</v>
      </c>
    </row>
    <row r="1263" spans="7:7" hidden="1" x14ac:dyDescent="0.35">
      <c r="G1263" s="321">
        <v>44978</v>
      </c>
    </row>
    <row r="1264" spans="7:7" hidden="1" x14ac:dyDescent="0.35">
      <c r="G1264" s="321">
        <v>44979</v>
      </c>
    </row>
    <row r="1265" spans="7:7" hidden="1" x14ac:dyDescent="0.35">
      <c r="G1265" s="321">
        <v>44980</v>
      </c>
    </row>
    <row r="1266" spans="7:7" hidden="1" x14ac:dyDescent="0.35">
      <c r="G1266" s="321">
        <v>44981</v>
      </c>
    </row>
    <row r="1267" spans="7:7" hidden="1" x14ac:dyDescent="0.35">
      <c r="G1267" s="321">
        <v>44982</v>
      </c>
    </row>
    <row r="1268" spans="7:7" hidden="1" x14ac:dyDescent="0.35">
      <c r="G1268" s="321">
        <v>44983</v>
      </c>
    </row>
    <row r="1269" spans="7:7" hidden="1" x14ac:dyDescent="0.35">
      <c r="G1269" s="321">
        <v>44984</v>
      </c>
    </row>
    <row r="1270" spans="7:7" hidden="1" x14ac:dyDescent="0.35">
      <c r="G1270" s="321">
        <v>44985</v>
      </c>
    </row>
    <row r="1271" spans="7:7" hidden="1" x14ac:dyDescent="0.35">
      <c r="G1271" s="321">
        <v>44986</v>
      </c>
    </row>
    <row r="1272" spans="7:7" hidden="1" x14ac:dyDescent="0.35">
      <c r="G1272" s="321">
        <v>44987</v>
      </c>
    </row>
    <row r="1273" spans="7:7" hidden="1" x14ac:dyDescent="0.35">
      <c r="G1273" s="321">
        <v>44988</v>
      </c>
    </row>
    <row r="1274" spans="7:7" hidden="1" x14ac:dyDescent="0.35">
      <c r="G1274" s="321">
        <v>44989</v>
      </c>
    </row>
    <row r="1275" spans="7:7" hidden="1" x14ac:dyDescent="0.35">
      <c r="G1275" s="321">
        <v>44990</v>
      </c>
    </row>
    <row r="1276" spans="7:7" hidden="1" x14ac:dyDescent="0.35">
      <c r="G1276" s="321">
        <v>44991</v>
      </c>
    </row>
    <row r="1277" spans="7:7" hidden="1" x14ac:dyDescent="0.35">
      <c r="G1277" s="321">
        <v>44992</v>
      </c>
    </row>
    <row r="1278" spans="7:7" hidden="1" x14ac:dyDescent="0.35">
      <c r="G1278" s="321">
        <v>44993</v>
      </c>
    </row>
    <row r="1279" spans="7:7" hidden="1" x14ac:dyDescent="0.35">
      <c r="G1279" s="321">
        <v>44994</v>
      </c>
    </row>
    <row r="1280" spans="7:7" hidden="1" x14ac:dyDescent="0.35">
      <c r="G1280" s="321">
        <v>44995</v>
      </c>
    </row>
    <row r="1281" spans="7:7" hidden="1" x14ac:dyDescent="0.35">
      <c r="G1281" s="321">
        <v>44996</v>
      </c>
    </row>
    <row r="1282" spans="7:7" hidden="1" x14ac:dyDescent="0.35">
      <c r="G1282" s="321">
        <v>44997</v>
      </c>
    </row>
    <row r="1283" spans="7:7" hidden="1" x14ac:dyDescent="0.35">
      <c r="G1283" s="321">
        <v>44998</v>
      </c>
    </row>
    <row r="1284" spans="7:7" hidden="1" x14ac:dyDescent="0.35">
      <c r="G1284" s="321">
        <v>44999</v>
      </c>
    </row>
    <row r="1285" spans="7:7" hidden="1" x14ac:dyDescent="0.35">
      <c r="G1285" s="321">
        <v>45000</v>
      </c>
    </row>
    <row r="1286" spans="7:7" hidden="1" x14ac:dyDescent="0.35">
      <c r="G1286" s="321">
        <v>45001</v>
      </c>
    </row>
    <row r="1287" spans="7:7" hidden="1" x14ac:dyDescent="0.35">
      <c r="G1287" s="321">
        <v>45002</v>
      </c>
    </row>
    <row r="1288" spans="7:7" hidden="1" x14ac:dyDescent="0.35">
      <c r="G1288" s="321">
        <v>45003</v>
      </c>
    </row>
    <row r="1289" spans="7:7" hidden="1" x14ac:dyDescent="0.35">
      <c r="G1289" s="321">
        <v>45004</v>
      </c>
    </row>
    <row r="1290" spans="7:7" hidden="1" x14ac:dyDescent="0.35">
      <c r="G1290" s="321">
        <v>45005</v>
      </c>
    </row>
    <row r="1291" spans="7:7" hidden="1" x14ac:dyDescent="0.35">
      <c r="G1291" s="321">
        <v>45006</v>
      </c>
    </row>
    <row r="1292" spans="7:7" hidden="1" x14ac:dyDescent="0.35">
      <c r="G1292" s="321">
        <v>45007</v>
      </c>
    </row>
    <row r="1293" spans="7:7" hidden="1" x14ac:dyDescent="0.35">
      <c r="G1293" s="321">
        <v>45008</v>
      </c>
    </row>
    <row r="1294" spans="7:7" hidden="1" x14ac:dyDescent="0.35">
      <c r="G1294" s="321">
        <v>45009</v>
      </c>
    </row>
    <row r="1295" spans="7:7" hidden="1" x14ac:dyDescent="0.35">
      <c r="G1295" s="321">
        <v>45010</v>
      </c>
    </row>
    <row r="1296" spans="7:7" hidden="1" x14ac:dyDescent="0.35">
      <c r="G1296" s="321">
        <v>45011</v>
      </c>
    </row>
    <row r="1297" spans="7:7" hidden="1" x14ac:dyDescent="0.35">
      <c r="G1297" s="321">
        <v>45012</v>
      </c>
    </row>
    <row r="1298" spans="7:7" hidden="1" x14ac:dyDescent="0.35">
      <c r="G1298" s="321">
        <v>45013</v>
      </c>
    </row>
    <row r="1299" spans="7:7" hidden="1" x14ac:dyDescent="0.35">
      <c r="G1299" s="321">
        <v>45014</v>
      </c>
    </row>
    <row r="1300" spans="7:7" hidden="1" x14ac:dyDescent="0.35">
      <c r="G1300" s="321">
        <v>45015</v>
      </c>
    </row>
    <row r="1301" spans="7:7" hidden="1" x14ac:dyDescent="0.35">
      <c r="G1301" s="321">
        <v>45016</v>
      </c>
    </row>
    <row r="1302" spans="7:7" hidden="1" x14ac:dyDescent="0.35">
      <c r="G1302" s="321">
        <v>45017</v>
      </c>
    </row>
    <row r="1303" spans="7:7" hidden="1" x14ac:dyDescent="0.35">
      <c r="G1303" s="321">
        <v>45018</v>
      </c>
    </row>
    <row r="1304" spans="7:7" hidden="1" x14ac:dyDescent="0.35">
      <c r="G1304" s="321">
        <v>45019</v>
      </c>
    </row>
    <row r="1305" spans="7:7" hidden="1" x14ac:dyDescent="0.35">
      <c r="G1305" s="321">
        <v>45020</v>
      </c>
    </row>
    <row r="1306" spans="7:7" hidden="1" x14ac:dyDescent="0.35">
      <c r="G1306" s="321">
        <v>45021</v>
      </c>
    </row>
    <row r="1307" spans="7:7" hidden="1" x14ac:dyDescent="0.35">
      <c r="G1307" s="321">
        <v>45022</v>
      </c>
    </row>
    <row r="1308" spans="7:7" hidden="1" x14ac:dyDescent="0.35">
      <c r="G1308" s="321">
        <v>45023</v>
      </c>
    </row>
    <row r="1309" spans="7:7" hidden="1" x14ac:dyDescent="0.35">
      <c r="G1309" s="321">
        <v>45024</v>
      </c>
    </row>
    <row r="1310" spans="7:7" hidden="1" x14ac:dyDescent="0.35">
      <c r="G1310" s="321">
        <v>45025</v>
      </c>
    </row>
    <row r="1311" spans="7:7" hidden="1" x14ac:dyDescent="0.35">
      <c r="G1311" s="321">
        <v>45026</v>
      </c>
    </row>
    <row r="1312" spans="7:7" hidden="1" x14ac:dyDescent="0.35">
      <c r="G1312" s="321">
        <v>45027</v>
      </c>
    </row>
    <row r="1313" spans="7:7" hidden="1" x14ac:dyDescent="0.35">
      <c r="G1313" s="321">
        <v>45028</v>
      </c>
    </row>
    <row r="1314" spans="7:7" hidden="1" x14ac:dyDescent="0.35">
      <c r="G1314" s="321">
        <v>45029</v>
      </c>
    </row>
    <row r="1315" spans="7:7" hidden="1" x14ac:dyDescent="0.35">
      <c r="G1315" s="321">
        <v>45030</v>
      </c>
    </row>
    <row r="1316" spans="7:7" hidden="1" x14ac:dyDescent="0.35">
      <c r="G1316" s="321">
        <v>45031</v>
      </c>
    </row>
    <row r="1317" spans="7:7" hidden="1" x14ac:dyDescent="0.35">
      <c r="G1317" s="321">
        <v>45032</v>
      </c>
    </row>
    <row r="1318" spans="7:7" hidden="1" x14ac:dyDescent="0.35">
      <c r="G1318" s="321">
        <v>45033</v>
      </c>
    </row>
    <row r="1319" spans="7:7" hidden="1" x14ac:dyDescent="0.35">
      <c r="G1319" s="321">
        <v>45034</v>
      </c>
    </row>
    <row r="1320" spans="7:7" hidden="1" x14ac:dyDescent="0.35">
      <c r="G1320" s="321">
        <v>45035</v>
      </c>
    </row>
    <row r="1321" spans="7:7" hidden="1" x14ac:dyDescent="0.35">
      <c r="G1321" s="321">
        <v>45036</v>
      </c>
    </row>
    <row r="1322" spans="7:7" hidden="1" x14ac:dyDescent="0.35">
      <c r="G1322" s="321">
        <v>45037</v>
      </c>
    </row>
    <row r="1323" spans="7:7" hidden="1" x14ac:dyDescent="0.35">
      <c r="G1323" s="321">
        <v>45038</v>
      </c>
    </row>
    <row r="1324" spans="7:7" hidden="1" x14ac:dyDescent="0.35">
      <c r="G1324" s="321">
        <v>45039</v>
      </c>
    </row>
    <row r="1325" spans="7:7" hidden="1" x14ac:dyDescent="0.35">
      <c r="G1325" s="321">
        <v>45040</v>
      </c>
    </row>
    <row r="1326" spans="7:7" hidden="1" x14ac:dyDescent="0.35">
      <c r="G1326" s="321">
        <v>45041</v>
      </c>
    </row>
    <row r="1327" spans="7:7" hidden="1" x14ac:dyDescent="0.35">
      <c r="G1327" s="321">
        <v>45042</v>
      </c>
    </row>
    <row r="1328" spans="7:7" hidden="1" x14ac:dyDescent="0.35">
      <c r="G1328" s="321">
        <v>45043</v>
      </c>
    </row>
    <row r="1329" spans="7:7" hidden="1" x14ac:dyDescent="0.35">
      <c r="G1329" s="321">
        <v>45044</v>
      </c>
    </row>
    <row r="1330" spans="7:7" hidden="1" x14ac:dyDescent="0.35">
      <c r="G1330" s="321">
        <v>45045</v>
      </c>
    </row>
    <row r="1331" spans="7:7" hidden="1" x14ac:dyDescent="0.35">
      <c r="G1331" s="321">
        <v>45046</v>
      </c>
    </row>
    <row r="1332" spans="7:7" hidden="1" x14ac:dyDescent="0.35">
      <c r="G1332" s="321">
        <v>45047</v>
      </c>
    </row>
    <row r="1333" spans="7:7" hidden="1" x14ac:dyDescent="0.35">
      <c r="G1333" s="321">
        <v>45048</v>
      </c>
    </row>
    <row r="1334" spans="7:7" hidden="1" x14ac:dyDescent="0.35">
      <c r="G1334" s="321">
        <v>45049</v>
      </c>
    </row>
    <row r="1335" spans="7:7" hidden="1" x14ac:dyDescent="0.35">
      <c r="G1335" s="321">
        <v>45050</v>
      </c>
    </row>
    <row r="1336" spans="7:7" hidden="1" x14ac:dyDescent="0.35">
      <c r="G1336" s="321">
        <v>45051</v>
      </c>
    </row>
    <row r="1337" spans="7:7" hidden="1" x14ac:dyDescent="0.35">
      <c r="G1337" s="321">
        <v>45052</v>
      </c>
    </row>
    <row r="1338" spans="7:7" hidden="1" x14ac:dyDescent="0.35">
      <c r="G1338" s="321">
        <v>45053</v>
      </c>
    </row>
    <row r="1339" spans="7:7" hidden="1" x14ac:dyDescent="0.35">
      <c r="G1339" s="321">
        <v>45054</v>
      </c>
    </row>
    <row r="1340" spans="7:7" hidden="1" x14ac:dyDescent="0.35">
      <c r="G1340" s="321">
        <v>45055</v>
      </c>
    </row>
    <row r="1341" spans="7:7" hidden="1" x14ac:dyDescent="0.35">
      <c r="G1341" s="321">
        <v>45056</v>
      </c>
    </row>
    <row r="1342" spans="7:7" hidden="1" x14ac:dyDescent="0.35">
      <c r="G1342" s="321">
        <v>45057</v>
      </c>
    </row>
    <row r="1343" spans="7:7" hidden="1" x14ac:dyDescent="0.35">
      <c r="G1343" s="321">
        <v>45058</v>
      </c>
    </row>
    <row r="1344" spans="7:7" hidden="1" x14ac:dyDescent="0.35">
      <c r="G1344" s="321">
        <v>45059</v>
      </c>
    </row>
    <row r="1345" spans="7:7" hidden="1" x14ac:dyDescent="0.35">
      <c r="G1345" s="321">
        <v>45060</v>
      </c>
    </row>
    <row r="1346" spans="7:7" hidden="1" x14ac:dyDescent="0.35">
      <c r="G1346" s="321">
        <v>45061</v>
      </c>
    </row>
    <row r="1347" spans="7:7" hidden="1" x14ac:dyDescent="0.35">
      <c r="G1347" s="321">
        <v>45062</v>
      </c>
    </row>
    <row r="1348" spans="7:7" hidden="1" x14ac:dyDescent="0.35">
      <c r="G1348" s="321">
        <v>45063</v>
      </c>
    </row>
    <row r="1349" spans="7:7" hidden="1" x14ac:dyDescent="0.35">
      <c r="G1349" s="321">
        <v>45064</v>
      </c>
    </row>
    <row r="1350" spans="7:7" hidden="1" x14ac:dyDescent="0.35">
      <c r="G1350" s="321">
        <v>45065</v>
      </c>
    </row>
    <row r="1351" spans="7:7" hidden="1" x14ac:dyDescent="0.35">
      <c r="G1351" s="321">
        <v>45066</v>
      </c>
    </row>
    <row r="1352" spans="7:7" hidden="1" x14ac:dyDescent="0.35">
      <c r="G1352" s="321">
        <v>45067</v>
      </c>
    </row>
    <row r="1353" spans="7:7" hidden="1" x14ac:dyDescent="0.35">
      <c r="G1353" s="321">
        <v>45068</v>
      </c>
    </row>
    <row r="1354" spans="7:7" hidden="1" x14ac:dyDescent="0.35">
      <c r="G1354" s="321">
        <v>45069</v>
      </c>
    </row>
    <row r="1355" spans="7:7" hidden="1" x14ac:dyDescent="0.35">
      <c r="G1355" s="321">
        <v>45070</v>
      </c>
    </row>
    <row r="1356" spans="7:7" hidden="1" x14ac:dyDescent="0.35">
      <c r="G1356" s="321">
        <v>45071</v>
      </c>
    </row>
    <row r="1357" spans="7:7" hidden="1" x14ac:dyDescent="0.35">
      <c r="G1357" s="321">
        <v>45072</v>
      </c>
    </row>
    <row r="1358" spans="7:7" hidden="1" x14ac:dyDescent="0.35">
      <c r="G1358" s="321">
        <v>45073</v>
      </c>
    </row>
    <row r="1359" spans="7:7" hidden="1" x14ac:dyDescent="0.35">
      <c r="G1359" s="321">
        <v>45074</v>
      </c>
    </row>
    <row r="1360" spans="7:7" hidden="1" x14ac:dyDescent="0.35">
      <c r="G1360" s="321">
        <v>45075</v>
      </c>
    </row>
    <row r="1361" spans="7:7" hidden="1" x14ac:dyDescent="0.35">
      <c r="G1361" s="321">
        <v>45076</v>
      </c>
    </row>
    <row r="1362" spans="7:7" hidden="1" x14ac:dyDescent="0.35">
      <c r="G1362" s="321">
        <v>45077</v>
      </c>
    </row>
    <row r="1363" spans="7:7" hidden="1" x14ac:dyDescent="0.35">
      <c r="G1363" s="321">
        <v>45078</v>
      </c>
    </row>
    <row r="1364" spans="7:7" hidden="1" x14ac:dyDescent="0.35">
      <c r="G1364" s="321">
        <v>45079</v>
      </c>
    </row>
    <row r="1365" spans="7:7" hidden="1" x14ac:dyDescent="0.35">
      <c r="G1365" s="321">
        <v>45080</v>
      </c>
    </row>
    <row r="1366" spans="7:7" hidden="1" x14ac:dyDescent="0.35">
      <c r="G1366" s="321">
        <v>45081</v>
      </c>
    </row>
    <row r="1367" spans="7:7" hidden="1" x14ac:dyDescent="0.35">
      <c r="G1367" s="321">
        <v>45082</v>
      </c>
    </row>
    <row r="1368" spans="7:7" hidden="1" x14ac:dyDescent="0.35">
      <c r="G1368" s="321">
        <v>45083</v>
      </c>
    </row>
    <row r="1369" spans="7:7" hidden="1" x14ac:dyDescent="0.35">
      <c r="G1369" s="321">
        <v>45084</v>
      </c>
    </row>
    <row r="1370" spans="7:7" hidden="1" x14ac:dyDescent="0.35">
      <c r="G1370" s="321">
        <v>45085</v>
      </c>
    </row>
    <row r="1371" spans="7:7" hidden="1" x14ac:dyDescent="0.35">
      <c r="G1371" s="321">
        <v>45086</v>
      </c>
    </row>
    <row r="1372" spans="7:7" hidden="1" x14ac:dyDescent="0.35">
      <c r="G1372" s="321">
        <v>45087</v>
      </c>
    </row>
    <row r="1373" spans="7:7" hidden="1" x14ac:dyDescent="0.35">
      <c r="G1373" s="321">
        <v>45088</v>
      </c>
    </row>
    <row r="1374" spans="7:7" hidden="1" x14ac:dyDescent="0.35">
      <c r="G1374" s="321">
        <v>45089</v>
      </c>
    </row>
    <row r="1375" spans="7:7" hidden="1" x14ac:dyDescent="0.35">
      <c r="G1375" s="321">
        <v>45090</v>
      </c>
    </row>
    <row r="1376" spans="7:7" hidden="1" x14ac:dyDescent="0.35">
      <c r="G1376" s="321">
        <v>45091</v>
      </c>
    </row>
    <row r="1377" spans="7:7" hidden="1" x14ac:dyDescent="0.35">
      <c r="G1377" s="321">
        <v>45092</v>
      </c>
    </row>
    <row r="1378" spans="7:7" hidden="1" x14ac:dyDescent="0.35">
      <c r="G1378" s="321">
        <v>45093</v>
      </c>
    </row>
    <row r="1379" spans="7:7" hidden="1" x14ac:dyDescent="0.35">
      <c r="G1379" s="321">
        <v>45094</v>
      </c>
    </row>
    <row r="1380" spans="7:7" hidden="1" x14ac:dyDescent="0.35">
      <c r="G1380" s="321">
        <v>45095</v>
      </c>
    </row>
    <row r="1381" spans="7:7" hidden="1" x14ac:dyDescent="0.35">
      <c r="G1381" s="321">
        <v>45096</v>
      </c>
    </row>
    <row r="1382" spans="7:7" hidden="1" x14ac:dyDescent="0.35">
      <c r="G1382" s="321">
        <v>45097</v>
      </c>
    </row>
    <row r="1383" spans="7:7" hidden="1" x14ac:dyDescent="0.35">
      <c r="G1383" s="321">
        <v>45098</v>
      </c>
    </row>
    <row r="1384" spans="7:7" hidden="1" x14ac:dyDescent="0.35">
      <c r="G1384" s="321">
        <v>45099</v>
      </c>
    </row>
    <row r="1385" spans="7:7" hidden="1" x14ac:dyDescent="0.35">
      <c r="G1385" s="321">
        <v>45100</v>
      </c>
    </row>
    <row r="1386" spans="7:7" hidden="1" x14ac:dyDescent="0.35">
      <c r="G1386" s="321">
        <v>45101</v>
      </c>
    </row>
    <row r="1387" spans="7:7" hidden="1" x14ac:dyDescent="0.35">
      <c r="G1387" s="321">
        <v>45102</v>
      </c>
    </row>
    <row r="1388" spans="7:7" hidden="1" x14ac:dyDescent="0.35">
      <c r="G1388" s="321">
        <v>45103</v>
      </c>
    </row>
    <row r="1389" spans="7:7" hidden="1" x14ac:dyDescent="0.35">
      <c r="G1389" s="321">
        <v>45104</v>
      </c>
    </row>
    <row r="1390" spans="7:7" hidden="1" x14ac:dyDescent="0.35">
      <c r="G1390" s="321">
        <v>45105</v>
      </c>
    </row>
    <row r="1391" spans="7:7" hidden="1" x14ac:dyDescent="0.35">
      <c r="G1391" s="321">
        <v>45106</v>
      </c>
    </row>
    <row r="1392" spans="7:7" hidden="1" x14ac:dyDescent="0.35">
      <c r="G1392" s="321">
        <v>45107</v>
      </c>
    </row>
    <row r="1393" spans="7:7" hidden="1" x14ac:dyDescent="0.35">
      <c r="G1393" s="321">
        <v>45108</v>
      </c>
    </row>
    <row r="1394" spans="7:7" hidden="1" x14ac:dyDescent="0.35">
      <c r="G1394" s="321">
        <v>45109</v>
      </c>
    </row>
    <row r="1395" spans="7:7" hidden="1" x14ac:dyDescent="0.35">
      <c r="G1395" s="321">
        <v>45110</v>
      </c>
    </row>
    <row r="1396" spans="7:7" hidden="1" x14ac:dyDescent="0.35">
      <c r="G1396" s="321">
        <v>45111</v>
      </c>
    </row>
    <row r="1397" spans="7:7" hidden="1" x14ac:dyDescent="0.35">
      <c r="G1397" s="321">
        <v>45112</v>
      </c>
    </row>
    <row r="1398" spans="7:7" hidden="1" x14ac:dyDescent="0.35">
      <c r="G1398" s="321">
        <v>45113</v>
      </c>
    </row>
    <row r="1399" spans="7:7" hidden="1" x14ac:dyDescent="0.35">
      <c r="G1399" s="321">
        <v>45114</v>
      </c>
    </row>
    <row r="1400" spans="7:7" hidden="1" x14ac:dyDescent="0.35">
      <c r="G1400" s="321">
        <v>45115</v>
      </c>
    </row>
    <row r="1401" spans="7:7" hidden="1" x14ac:dyDescent="0.35">
      <c r="G1401" s="321">
        <v>45116</v>
      </c>
    </row>
    <row r="1402" spans="7:7" hidden="1" x14ac:dyDescent="0.35">
      <c r="G1402" s="321">
        <v>45117</v>
      </c>
    </row>
    <row r="1403" spans="7:7" hidden="1" x14ac:dyDescent="0.35">
      <c r="G1403" s="321">
        <v>45118</v>
      </c>
    </row>
    <row r="1404" spans="7:7" hidden="1" x14ac:dyDescent="0.35">
      <c r="G1404" s="321">
        <v>45119</v>
      </c>
    </row>
    <row r="1405" spans="7:7" hidden="1" x14ac:dyDescent="0.35">
      <c r="G1405" s="321">
        <v>45120</v>
      </c>
    </row>
    <row r="1406" spans="7:7" hidden="1" x14ac:dyDescent="0.35">
      <c r="G1406" s="321">
        <v>45121</v>
      </c>
    </row>
    <row r="1407" spans="7:7" hidden="1" x14ac:dyDescent="0.35">
      <c r="G1407" s="321">
        <v>45122</v>
      </c>
    </row>
    <row r="1408" spans="7:7" hidden="1" x14ac:dyDescent="0.35">
      <c r="G1408" s="321">
        <v>45123</v>
      </c>
    </row>
    <row r="1409" spans="7:7" hidden="1" x14ac:dyDescent="0.35">
      <c r="G1409" s="321">
        <v>45124</v>
      </c>
    </row>
    <row r="1410" spans="7:7" hidden="1" x14ac:dyDescent="0.35">
      <c r="G1410" s="321">
        <v>45125</v>
      </c>
    </row>
    <row r="1411" spans="7:7" hidden="1" x14ac:dyDescent="0.35">
      <c r="G1411" s="321">
        <v>45126</v>
      </c>
    </row>
    <row r="1412" spans="7:7" hidden="1" x14ac:dyDescent="0.35">
      <c r="G1412" s="321">
        <v>45127</v>
      </c>
    </row>
    <row r="1413" spans="7:7" hidden="1" x14ac:dyDescent="0.35">
      <c r="G1413" s="321">
        <v>45128</v>
      </c>
    </row>
    <row r="1414" spans="7:7" hidden="1" x14ac:dyDescent="0.35">
      <c r="G1414" s="321">
        <v>45129</v>
      </c>
    </row>
    <row r="1415" spans="7:7" hidden="1" x14ac:dyDescent="0.35">
      <c r="G1415" s="321">
        <v>45130</v>
      </c>
    </row>
    <row r="1416" spans="7:7" hidden="1" x14ac:dyDescent="0.35">
      <c r="G1416" s="321">
        <v>45131</v>
      </c>
    </row>
    <row r="1417" spans="7:7" hidden="1" x14ac:dyDescent="0.35">
      <c r="G1417" s="321">
        <v>45132</v>
      </c>
    </row>
    <row r="1418" spans="7:7" hidden="1" x14ac:dyDescent="0.35">
      <c r="G1418" s="321">
        <v>45133</v>
      </c>
    </row>
    <row r="1419" spans="7:7" hidden="1" x14ac:dyDescent="0.35">
      <c r="G1419" s="321">
        <v>45134</v>
      </c>
    </row>
    <row r="1420" spans="7:7" hidden="1" x14ac:dyDescent="0.35">
      <c r="G1420" s="321">
        <v>45135</v>
      </c>
    </row>
    <row r="1421" spans="7:7" hidden="1" x14ac:dyDescent="0.35">
      <c r="G1421" s="321">
        <v>45136</v>
      </c>
    </row>
    <row r="1422" spans="7:7" hidden="1" x14ac:dyDescent="0.35">
      <c r="G1422" s="321">
        <v>45137</v>
      </c>
    </row>
    <row r="1423" spans="7:7" hidden="1" x14ac:dyDescent="0.35">
      <c r="G1423" s="321">
        <v>45138</v>
      </c>
    </row>
    <row r="1424" spans="7:7" hidden="1" x14ac:dyDescent="0.35">
      <c r="G1424" s="321">
        <v>45139</v>
      </c>
    </row>
    <row r="1425" spans="7:7" hidden="1" x14ac:dyDescent="0.35">
      <c r="G1425" s="321">
        <v>45140</v>
      </c>
    </row>
    <row r="1426" spans="7:7" hidden="1" x14ac:dyDescent="0.35">
      <c r="G1426" s="321">
        <v>45141</v>
      </c>
    </row>
    <row r="1427" spans="7:7" hidden="1" x14ac:dyDescent="0.35">
      <c r="G1427" s="321">
        <v>45142</v>
      </c>
    </row>
    <row r="1428" spans="7:7" hidden="1" x14ac:dyDescent="0.35">
      <c r="G1428" s="321">
        <v>45143</v>
      </c>
    </row>
    <row r="1429" spans="7:7" hidden="1" x14ac:dyDescent="0.35">
      <c r="G1429" s="321">
        <v>45144</v>
      </c>
    </row>
    <row r="1430" spans="7:7" hidden="1" x14ac:dyDescent="0.35">
      <c r="G1430" s="321">
        <v>45145</v>
      </c>
    </row>
    <row r="1431" spans="7:7" hidden="1" x14ac:dyDescent="0.35">
      <c r="G1431" s="321">
        <v>45146</v>
      </c>
    </row>
    <row r="1432" spans="7:7" hidden="1" x14ac:dyDescent="0.35">
      <c r="G1432" s="321">
        <v>45147</v>
      </c>
    </row>
    <row r="1433" spans="7:7" hidden="1" x14ac:dyDescent="0.35">
      <c r="G1433" s="321">
        <v>45148</v>
      </c>
    </row>
    <row r="1434" spans="7:7" hidden="1" x14ac:dyDescent="0.35">
      <c r="G1434" s="321">
        <v>45149</v>
      </c>
    </row>
    <row r="1435" spans="7:7" hidden="1" x14ac:dyDescent="0.35">
      <c r="G1435" s="321">
        <v>45150</v>
      </c>
    </row>
    <row r="1436" spans="7:7" hidden="1" x14ac:dyDescent="0.35">
      <c r="G1436" s="321">
        <v>45151</v>
      </c>
    </row>
    <row r="1437" spans="7:7" hidden="1" x14ac:dyDescent="0.35">
      <c r="G1437" s="321">
        <v>45152</v>
      </c>
    </row>
    <row r="1438" spans="7:7" hidden="1" x14ac:dyDescent="0.35">
      <c r="G1438" s="321">
        <v>45153</v>
      </c>
    </row>
    <row r="1439" spans="7:7" hidden="1" x14ac:dyDescent="0.35">
      <c r="G1439" s="321">
        <v>45154</v>
      </c>
    </row>
    <row r="1440" spans="7:7" hidden="1" x14ac:dyDescent="0.35">
      <c r="G1440" s="321">
        <v>45155</v>
      </c>
    </row>
    <row r="1441" spans="7:7" hidden="1" x14ac:dyDescent="0.35">
      <c r="G1441" s="321">
        <v>45156</v>
      </c>
    </row>
    <row r="1442" spans="7:7" hidden="1" x14ac:dyDescent="0.35">
      <c r="G1442" s="321">
        <v>45157</v>
      </c>
    </row>
    <row r="1443" spans="7:7" hidden="1" x14ac:dyDescent="0.35">
      <c r="G1443" s="321">
        <v>45158</v>
      </c>
    </row>
    <row r="1444" spans="7:7" hidden="1" x14ac:dyDescent="0.35">
      <c r="G1444" s="321">
        <v>45159</v>
      </c>
    </row>
    <row r="1445" spans="7:7" hidden="1" x14ac:dyDescent="0.35">
      <c r="G1445" s="321">
        <v>45160</v>
      </c>
    </row>
    <row r="1446" spans="7:7" hidden="1" x14ac:dyDescent="0.35">
      <c r="G1446" s="321">
        <v>45161</v>
      </c>
    </row>
    <row r="1447" spans="7:7" hidden="1" x14ac:dyDescent="0.35">
      <c r="G1447" s="321">
        <v>45162</v>
      </c>
    </row>
    <row r="1448" spans="7:7" hidden="1" x14ac:dyDescent="0.35">
      <c r="G1448" s="321">
        <v>45163</v>
      </c>
    </row>
    <row r="1449" spans="7:7" hidden="1" x14ac:dyDescent="0.35">
      <c r="G1449" s="321">
        <v>45164</v>
      </c>
    </row>
    <row r="1450" spans="7:7" hidden="1" x14ac:dyDescent="0.35">
      <c r="G1450" s="321">
        <v>45165</v>
      </c>
    </row>
    <row r="1451" spans="7:7" hidden="1" x14ac:dyDescent="0.35">
      <c r="G1451" s="321">
        <v>45166</v>
      </c>
    </row>
    <row r="1452" spans="7:7" hidden="1" x14ac:dyDescent="0.35">
      <c r="G1452" s="321">
        <v>45167</v>
      </c>
    </row>
    <row r="1453" spans="7:7" hidden="1" x14ac:dyDescent="0.35">
      <c r="G1453" s="321">
        <v>45168</v>
      </c>
    </row>
    <row r="1454" spans="7:7" hidden="1" x14ac:dyDescent="0.35">
      <c r="G1454" s="321">
        <v>45169</v>
      </c>
    </row>
    <row r="1455" spans="7:7" hidden="1" x14ac:dyDescent="0.35">
      <c r="G1455" s="321">
        <v>45170</v>
      </c>
    </row>
    <row r="1456" spans="7:7" hidden="1" x14ac:dyDescent="0.35">
      <c r="G1456" s="321">
        <v>45171</v>
      </c>
    </row>
    <row r="1457" spans="7:7" hidden="1" x14ac:dyDescent="0.35">
      <c r="G1457" s="321">
        <v>45172</v>
      </c>
    </row>
    <row r="1458" spans="7:7" hidden="1" x14ac:dyDescent="0.35">
      <c r="G1458" s="321">
        <v>45173</v>
      </c>
    </row>
    <row r="1459" spans="7:7" hidden="1" x14ac:dyDescent="0.35">
      <c r="G1459" s="321">
        <v>45174</v>
      </c>
    </row>
    <row r="1460" spans="7:7" hidden="1" x14ac:dyDescent="0.35">
      <c r="G1460" s="321">
        <v>45175</v>
      </c>
    </row>
    <row r="1461" spans="7:7" hidden="1" x14ac:dyDescent="0.35">
      <c r="G1461" s="321">
        <v>45176</v>
      </c>
    </row>
    <row r="1462" spans="7:7" hidden="1" x14ac:dyDescent="0.35">
      <c r="G1462" s="321">
        <v>45177</v>
      </c>
    </row>
    <row r="1463" spans="7:7" hidden="1" x14ac:dyDescent="0.35">
      <c r="G1463" s="321">
        <v>45178</v>
      </c>
    </row>
    <row r="1464" spans="7:7" hidden="1" x14ac:dyDescent="0.35">
      <c r="G1464" s="321">
        <v>45179</v>
      </c>
    </row>
    <row r="1465" spans="7:7" hidden="1" x14ac:dyDescent="0.35">
      <c r="G1465" s="321">
        <v>45180</v>
      </c>
    </row>
    <row r="1466" spans="7:7" hidden="1" x14ac:dyDescent="0.35">
      <c r="G1466" s="321">
        <v>45181</v>
      </c>
    </row>
    <row r="1467" spans="7:7" hidden="1" x14ac:dyDescent="0.35">
      <c r="G1467" s="321">
        <v>45182</v>
      </c>
    </row>
    <row r="1468" spans="7:7" hidden="1" x14ac:dyDescent="0.35">
      <c r="G1468" s="321">
        <v>45183</v>
      </c>
    </row>
    <row r="1469" spans="7:7" hidden="1" x14ac:dyDescent="0.35">
      <c r="G1469" s="321">
        <v>45184</v>
      </c>
    </row>
    <row r="1470" spans="7:7" hidden="1" x14ac:dyDescent="0.35">
      <c r="G1470" s="321">
        <v>45185</v>
      </c>
    </row>
    <row r="1471" spans="7:7" hidden="1" x14ac:dyDescent="0.35">
      <c r="G1471" s="321">
        <v>45186</v>
      </c>
    </row>
    <row r="1472" spans="7:7" hidden="1" x14ac:dyDescent="0.35">
      <c r="G1472" s="321">
        <v>45187</v>
      </c>
    </row>
    <row r="1473" spans="7:7" hidden="1" x14ac:dyDescent="0.35">
      <c r="G1473" s="321">
        <v>45188</v>
      </c>
    </row>
    <row r="1474" spans="7:7" hidden="1" x14ac:dyDescent="0.35">
      <c r="G1474" s="321">
        <v>45189</v>
      </c>
    </row>
    <row r="1475" spans="7:7" hidden="1" x14ac:dyDescent="0.35">
      <c r="G1475" s="321">
        <v>45190</v>
      </c>
    </row>
    <row r="1476" spans="7:7" hidden="1" x14ac:dyDescent="0.35">
      <c r="G1476" s="321">
        <v>45191</v>
      </c>
    </row>
    <row r="1477" spans="7:7" hidden="1" x14ac:dyDescent="0.35">
      <c r="G1477" s="321">
        <v>45192</v>
      </c>
    </row>
    <row r="1478" spans="7:7" hidden="1" x14ac:dyDescent="0.35">
      <c r="G1478" s="321">
        <v>45193</v>
      </c>
    </row>
    <row r="1479" spans="7:7" hidden="1" x14ac:dyDescent="0.35">
      <c r="G1479" s="321">
        <v>45194</v>
      </c>
    </row>
    <row r="1480" spans="7:7" hidden="1" x14ac:dyDescent="0.35">
      <c r="G1480" s="321">
        <v>45195</v>
      </c>
    </row>
    <row r="1481" spans="7:7" hidden="1" x14ac:dyDescent="0.35">
      <c r="G1481" s="321">
        <v>45196</v>
      </c>
    </row>
    <row r="1482" spans="7:7" hidden="1" x14ac:dyDescent="0.35">
      <c r="G1482" s="321">
        <v>45197</v>
      </c>
    </row>
    <row r="1483" spans="7:7" hidden="1" x14ac:dyDescent="0.35">
      <c r="G1483" s="321">
        <v>45198</v>
      </c>
    </row>
    <row r="1484" spans="7:7" hidden="1" x14ac:dyDescent="0.35">
      <c r="G1484" s="321">
        <v>45199</v>
      </c>
    </row>
    <row r="1485" spans="7:7" hidden="1" x14ac:dyDescent="0.35">
      <c r="G1485" s="321">
        <v>45200</v>
      </c>
    </row>
    <row r="1486" spans="7:7" hidden="1" x14ac:dyDescent="0.35">
      <c r="G1486" s="321">
        <v>45201</v>
      </c>
    </row>
    <row r="1487" spans="7:7" hidden="1" x14ac:dyDescent="0.35">
      <c r="G1487" s="321">
        <v>45202</v>
      </c>
    </row>
    <row r="1488" spans="7:7" hidden="1" x14ac:dyDescent="0.35">
      <c r="G1488" s="321">
        <v>45203</v>
      </c>
    </row>
    <row r="1489" spans="7:7" hidden="1" x14ac:dyDescent="0.35">
      <c r="G1489" s="321">
        <v>45204</v>
      </c>
    </row>
    <row r="1490" spans="7:7" hidden="1" x14ac:dyDescent="0.35">
      <c r="G1490" s="321">
        <v>45205</v>
      </c>
    </row>
    <row r="1491" spans="7:7" hidden="1" x14ac:dyDescent="0.35">
      <c r="G1491" s="321">
        <v>45206</v>
      </c>
    </row>
    <row r="1492" spans="7:7" hidden="1" x14ac:dyDescent="0.35">
      <c r="G1492" s="321">
        <v>45207</v>
      </c>
    </row>
    <row r="1493" spans="7:7" hidden="1" x14ac:dyDescent="0.35">
      <c r="G1493" s="321">
        <v>45208</v>
      </c>
    </row>
    <row r="1494" spans="7:7" hidden="1" x14ac:dyDescent="0.35">
      <c r="G1494" s="321">
        <v>45209</v>
      </c>
    </row>
    <row r="1495" spans="7:7" hidden="1" x14ac:dyDescent="0.35">
      <c r="G1495" s="321">
        <v>45210</v>
      </c>
    </row>
    <row r="1496" spans="7:7" hidden="1" x14ac:dyDescent="0.35">
      <c r="G1496" s="321">
        <v>45211</v>
      </c>
    </row>
    <row r="1497" spans="7:7" hidden="1" x14ac:dyDescent="0.35">
      <c r="G1497" s="321">
        <v>45212</v>
      </c>
    </row>
    <row r="1498" spans="7:7" hidden="1" x14ac:dyDescent="0.35">
      <c r="G1498" s="321">
        <v>45213</v>
      </c>
    </row>
    <row r="1499" spans="7:7" hidden="1" x14ac:dyDescent="0.35">
      <c r="G1499" s="321">
        <v>45214</v>
      </c>
    </row>
    <row r="1500" spans="7:7" hidden="1" x14ac:dyDescent="0.35">
      <c r="G1500" s="321">
        <v>45215</v>
      </c>
    </row>
    <row r="1501" spans="7:7" hidden="1" x14ac:dyDescent="0.35">
      <c r="G1501" s="321">
        <v>45216</v>
      </c>
    </row>
    <row r="1502" spans="7:7" hidden="1" x14ac:dyDescent="0.35">
      <c r="G1502" s="321">
        <v>45217</v>
      </c>
    </row>
    <row r="1503" spans="7:7" hidden="1" x14ac:dyDescent="0.35">
      <c r="G1503" s="321">
        <v>45218</v>
      </c>
    </row>
    <row r="1504" spans="7:7" hidden="1" x14ac:dyDescent="0.35">
      <c r="G1504" s="321">
        <v>45219</v>
      </c>
    </row>
    <row r="1505" spans="7:7" hidden="1" x14ac:dyDescent="0.35">
      <c r="G1505" s="321">
        <v>45220</v>
      </c>
    </row>
    <row r="1506" spans="7:7" hidden="1" x14ac:dyDescent="0.35">
      <c r="G1506" s="321">
        <v>45221</v>
      </c>
    </row>
    <row r="1507" spans="7:7" hidden="1" x14ac:dyDescent="0.35">
      <c r="G1507" s="321">
        <v>45222</v>
      </c>
    </row>
    <row r="1508" spans="7:7" hidden="1" x14ac:dyDescent="0.35">
      <c r="G1508" s="321">
        <v>45223</v>
      </c>
    </row>
    <row r="1509" spans="7:7" hidden="1" x14ac:dyDescent="0.35">
      <c r="G1509" s="321">
        <v>45224</v>
      </c>
    </row>
    <row r="1510" spans="7:7" hidden="1" x14ac:dyDescent="0.35">
      <c r="G1510" s="321">
        <v>45225</v>
      </c>
    </row>
    <row r="1511" spans="7:7" hidden="1" x14ac:dyDescent="0.35">
      <c r="G1511" s="321">
        <v>45226</v>
      </c>
    </row>
    <row r="1512" spans="7:7" hidden="1" x14ac:dyDescent="0.35">
      <c r="G1512" s="321">
        <v>45227</v>
      </c>
    </row>
    <row r="1513" spans="7:7" hidden="1" x14ac:dyDescent="0.35">
      <c r="G1513" s="321">
        <v>45228</v>
      </c>
    </row>
    <row r="1514" spans="7:7" hidden="1" x14ac:dyDescent="0.35">
      <c r="G1514" s="321">
        <v>45229</v>
      </c>
    </row>
    <row r="1515" spans="7:7" hidden="1" x14ac:dyDescent="0.35">
      <c r="G1515" s="321">
        <v>45230</v>
      </c>
    </row>
    <row r="1516" spans="7:7" hidden="1" x14ac:dyDescent="0.35">
      <c r="G1516" s="321">
        <v>45231</v>
      </c>
    </row>
    <row r="1517" spans="7:7" hidden="1" x14ac:dyDescent="0.35">
      <c r="G1517" s="321">
        <v>45232</v>
      </c>
    </row>
    <row r="1518" spans="7:7" hidden="1" x14ac:dyDescent="0.35">
      <c r="G1518" s="321">
        <v>45233</v>
      </c>
    </row>
    <row r="1519" spans="7:7" hidden="1" x14ac:dyDescent="0.35">
      <c r="G1519" s="321">
        <v>45234</v>
      </c>
    </row>
    <row r="1520" spans="7:7" hidden="1" x14ac:dyDescent="0.35">
      <c r="G1520" s="321">
        <v>45235</v>
      </c>
    </row>
    <row r="1521" spans="7:7" hidden="1" x14ac:dyDescent="0.35">
      <c r="G1521" s="321">
        <v>45236</v>
      </c>
    </row>
    <row r="1522" spans="7:7" hidden="1" x14ac:dyDescent="0.35">
      <c r="G1522" s="321">
        <v>45237</v>
      </c>
    </row>
    <row r="1523" spans="7:7" hidden="1" x14ac:dyDescent="0.35">
      <c r="G1523" s="321">
        <v>45238</v>
      </c>
    </row>
    <row r="1524" spans="7:7" hidden="1" x14ac:dyDescent="0.35">
      <c r="G1524" s="321">
        <v>45239</v>
      </c>
    </row>
    <row r="1525" spans="7:7" hidden="1" x14ac:dyDescent="0.35">
      <c r="G1525" s="321">
        <v>45240</v>
      </c>
    </row>
    <row r="1526" spans="7:7" hidden="1" x14ac:dyDescent="0.35">
      <c r="G1526" s="321">
        <v>45241</v>
      </c>
    </row>
    <row r="1527" spans="7:7" hidden="1" x14ac:dyDescent="0.35">
      <c r="G1527" s="321">
        <v>45242</v>
      </c>
    </row>
    <row r="1528" spans="7:7" hidden="1" x14ac:dyDescent="0.35">
      <c r="G1528" s="321">
        <v>45243</v>
      </c>
    </row>
    <row r="1529" spans="7:7" hidden="1" x14ac:dyDescent="0.35">
      <c r="G1529" s="321">
        <v>45244</v>
      </c>
    </row>
    <row r="1530" spans="7:7" hidden="1" x14ac:dyDescent="0.35">
      <c r="G1530" s="321">
        <v>45245</v>
      </c>
    </row>
    <row r="1531" spans="7:7" hidden="1" x14ac:dyDescent="0.35">
      <c r="G1531" s="321">
        <v>45246</v>
      </c>
    </row>
    <row r="1532" spans="7:7" hidden="1" x14ac:dyDescent="0.35">
      <c r="G1532" s="321">
        <v>45247</v>
      </c>
    </row>
    <row r="1533" spans="7:7" hidden="1" x14ac:dyDescent="0.35">
      <c r="G1533" s="321">
        <v>45248</v>
      </c>
    </row>
    <row r="1534" spans="7:7" hidden="1" x14ac:dyDescent="0.35">
      <c r="G1534" s="321">
        <v>45249</v>
      </c>
    </row>
    <row r="1535" spans="7:7" hidden="1" x14ac:dyDescent="0.35">
      <c r="G1535" s="321">
        <v>45250</v>
      </c>
    </row>
    <row r="1536" spans="7:7" hidden="1" x14ac:dyDescent="0.35">
      <c r="G1536" s="321">
        <v>45251</v>
      </c>
    </row>
    <row r="1537" spans="7:7" hidden="1" x14ac:dyDescent="0.35">
      <c r="G1537" s="321">
        <v>45252</v>
      </c>
    </row>
    <row r="1538" spans="7:7" hidden="1" x14ac:dyDescent="0.35">
      <c r="G1538" s="321">
        <v>45253</v>
      </c>
    </row>
    <row r="1539" spans="7:7" hidden="1" x14ac:dyDescent="0.35">
      <c r="G1539" s="321">
        <v>45254</v>
      </c>
    </row>
    <row r="1540" spans="7:7" hidden="1" x14ac:dyDescent="0.35">
      <c r="G1540" s="321">
        <v>45255</v>
      </c>
    </row>
    <row r="1541" spans="7:7" hidden="1" x14ac:dyDescent="0.35">
      <c r="G1541" s="321">
        <v>45256</v>
      </c>
    </row>
    <row r="1542" spans="7:7" hidden="1" x14ac:dyDescent="0.35">
      <c r="G1542" s="321">
        <v>45257</v>
      </c>
    </row>
    <row r="1543" spans="7:7" hidden="1" x14ac:dyDescent="0.35">
      <c r="G1543" s="321">
        <v>45258</v>
      </c>
    </row>
    <row r="1544" spans="7:7" hidden="1" x14ac:dyDescent="0.35">
      <c r="G1544" s="321">
        <v>45259</v>
      </c>
    </row>
    <row r="1545" spans="7:7" hidden="1" x14ac:dyDescent="0.35">
      <c r="G1545" s="321">
        <v>45260</v>
      </c>
    </row>
    <row r="1546" spans="7:7" hidden="1" x14ac:dyDescent="0.35">
      <c r="G1546" s="321">
        <v>45261</v>
      </c>
    </row>
    <row r="1547" spans="7:7" hidden="1" x14ac:dyDescent="0.35">
      <c r="G1547" s="321">
        <v>45262</v>
      </c>
    </row>
    <row r="1548" spans="7:7" hidden="1" x14ac:dyDescent="0.35">
      <c r="G1548" s="321">
        <v>45263</v>
      </c>
    </row>
    <row r="1549" spans="7:7" hidden="1" x14ac:dyDescent="0.35">
      <c r="G1549" s="321">
        <v>45264</v>
      </c>
    </row>
    <row r="1550" spans="7:7" hidden="1" x14ac:dyDescent="0.35">
      <c r="G1550" s="321">
        <v>45265</v>
      </c>
    </row>
    <row r="1551" spans="7:7" hidden="1" x14ac:dyDescent="0.35">
      <c r="G1551" s="321">
        <v>45266</v>
      </c>
    </row>
    <row r="1552" spans="7:7" hidden="1" x14ac:dyDescent="0.35">
      <c r="G1552" s="321">
        <v>45267</v>
      </c>
    </row>
    <row r="1553" spans="7:7" hidden="1" x14ac:dyDescent="0.35">
      <c r="G1553" s="321">
        <v>45268</v>
      </c>
    </row>
    <row r="1554" spans="7:7" hidden="1" x14ac:dyDescent="0.35">
      <c r="G1554" s="321">
        <v>45269</v>
      </c>
    </row>
    <row r="1555" spans="7:7" hidden="1" x14ac:dyDescent="0.35">
      <c r="G1555" s="321">
        <v>45270</v>
      </c>
    </row>
    <row r="1556" spans="7:7" hidden="1" x14ac:dyDescent="0.35">
      <c r="G1556" s="321">
        <v>45271</v>
      </c>
    </row>
    <row r="1557" spans="7:7" hidden="1" x14ac:dyDescent="0.35">
      <c r="G1557" s="321">
        <v>45272</v>
      </c>
    </row>
    <row r="1558" spans="7:7" hidden="1" x14ac:dyDescent="0.35">
      <c r="G1558" s="321">
        <v>45273</v>
      </c>
    </row>
    <row r="1559" spans="7:7" hidden="1" x14ac:dyDescent="0.35">
      <c r="G1559" s="321">
        <v>45274</v>
      </c>
    </row>
    <row r="1560" spans="7:7" hidden="1" x14ac:dyDescent="0.35">
      <c r="G1560" s="321">
        <v>45275</v>
      </c>
    </row>
    <row r="1561" spans="7:7" hidden="1" x14ac:dyDescent="0.35">
      <c r="G1561" s="321">
        <v>45276</v>
      </c>
    </row>
    <row r="1562" spans="7:7" hidden="1" x14ac:dyDescent="0.35">
      <c r="G1562" s="321">
        <v>45277</v>
      </c>
    </row>
    <row r="1563" spans="7:7" hidden="1" x14ac:dyDescent="0.35">
      <c r="G1563" s="321">
        <v>45278</v>
      </c>
    </row>
    <row r="1564" spans="7:7" hidden="1" x14ac:dyDescent="0.35">
      <c r="G1564" s="321">
        <v>45279</v>
      </c>
    </row>
    <row r="1565" spans="7:7" hidden="1" x14ac:dyDescent="0.35">
      <c r="G1565" s="321">
        <v>45280</v>
      </c>
    </row>
    <row r="1566" spans="7:7" hidden="1" x14ac:dyDescent="0.35">
      <c r="G1566" s="321">
        <v>45281</v>
      </c>
    </row>
    <row r="1567" spans="7:7" hidden="1" x14ac:dyDescent="0.35">
      <c r="G1567" s="321">
        <v>45282</v>
      </c>
    </row>
    <row r="1568" spans="7:7" hidden="1" x14ac:dyDescent="0.35">
      <c r="G1568" s="321">
        <v>45283</v>
      </c>
    </row>
    <row r="1569" spans="7:7" hidden="1" x14ac:dyDescent="0.35">
      <c r="G1569" s="321">
        <v>45284</v>
      </c>
    </row>
    <row r="1570" spans="7:7" hidden="1" x14ac:dyDescent="0.35">
      <c r="G1570" s="321">
        <v>45285</v>
      </c>
    </row>
    <row r="1571" spans="7:7" hidden="1" x14ac:dyDescent="0.35">
      <c r="G1571" s="321">
        <v>45286</v>
      </c>
    </row>
    <row r="1572" spans="7:7" hidden="1" x14ac:dyDescent="0.35">
      <c r="G1572" s="321">
        <v>45287</v>
      </c>
    </row>
    <row r="1573" spans="7:7" hidden="1" x14ac:dyDescent="0.35">
      <c r="G1573" s="321">
        <v>45288</v>
      </c>
    </row>
    <row r="1574" spans="7:7" hidden="1" x14ac:dyDescent="0.35">
      <c r="G1574" s="321">
        <v>45289</v>
      </c>
    </row>
    <row r="1575" spans="7:7" hidden="1" x14ac:dyDescent="0.35">
      <c r="G1575" s="321">
        <v>45290</v>
      </c>
    </row>
    <row r="1576" spans="7:7" hidden="1" x14ac:dyDescent="0.35">
      <c r="G1576" s="321">
        <v>45291</v>
      </c>
    </row>
    <row r="1577" spans="7:7" hidden="1" x14ac:dyDescent="0.35">
      <c r="G1577" s="321">
        <v>45292</v>
      </c>
    </row>
    <row r="1578" spans="7:7" hidden="1" x14ac:dyDescent="0.35">
      <c r="G1578" s="321">
        <v>45293</v>
      </c>
    </row>
    <row r="1579" spans="7:7" hidden="1" x14ac:dyDescent="0.35">
      <c r="G1579" s="321">
        <v>45294</v>
      </c>
    </row>
    <row r="1580" spans="7:7" hidden="1" x14ac:dyDescent="0.35">
      <c r="G1580" s="321">
        <v>45295</v>
      </c>
    </row>
    <row r="1581" spans="7:7" hidden="1" x14ac:dyDescent="0.35">
      <c r="G1581" s="321">
        <v>45296</v>
      </c>
    </row>
    <row r="1582" spans="7:7" hidden="1" x14ac:dyDescent="0.35">
      <c r="G1582" s="321">
        <v>45297</v>
      </c>
    </row>
    <row r="1583" spans="7:7" hidden="1" x14ac:dyDescent="0.35">
      <c r="G1583" s="321">
        <v>45298</v>
      </c>
    </row>
    <row r="1584" spans="7:7" hidden="1" x14ac:dyDescent="0.35">
      <c r="G1584" s="321">
        <v>45299</v>
      </c>
    </row>
    <row r="1585" spans="7:7" hidden="1" x14ac:dyDescent="0.35">
      <c r="G1585" s="321">
        <v>45300</v>
      </c>
    </row>
    <row r="1586" spans="7:7" hidden="1" x14ac:dyDescent="0.35">
      <c r="G1586" s="321">
        <v>45301</v>
      </c>
    </row>
    <row r="1587" spans="7:7" hidden="1" x14ac:dyDescent="0.35">
      <c r="G1587" s="321">
        <v>45302</v>
      </c>
    </row>
    <row r="1588" spans="7:7" hidden="1" x14ac:dyDescent="0.35">
      <c r="G1588" s="321">
        <v>45303</v>
      </c>
    </row>
    <row r="1589" spans="7:7" hidden="1" x14ac:dyDescent="0.35">
      <c r="G1589" s="321">
        <v>45304</v>
      </c>
    </row>
    <row r="1590" spans="7:7" hidden="1" x14ac:dyDescent="0.35">
      <c r="G1590" s="321">
        <v>45305</v>
      </c>
    </row>
    <row r="1591" spans="7:7" hidden="1" x14ac:dyDescent="0.35">
      <c r="G1591" s="321">
        <v>45306</v>
      </c>
    </row>
    <row r="1592" spans="7:7" hidden="1" x14ac:dyDescent="0.35">
      <c r="G1592" s="321">
        <v>45307</v>
      </c>
    </row>
    <row r="1593" spans="7:7" hidden="1" x14ac:dyDescent="0.35">
      <c r="G1593" s="321">
        <v>45308</v>
      </c>
    </row>
    <row r="1594" spans="7:7" hidden="1" x14ac:dyDescent="0.35">
      <c r="G1594" s="321">
        <v>45309</v>
      </c>
    </row>
    <row r="1595" spans="7:7" hidden="1" x14ac:dyDescent="0.35">
      <c r="G1595" s="321">
        <v>45310</v>
      </c>
    </row>
    <row r="1596" spans="7:7" hidden="1" x14ac:dyDescent="0.35">
      <c r="G1596" s="321">
        <v>45311</v>
      </c>
    </row>
    <row r="1597" spans="7:7" hidden="1" x14ac:dyDescent="0.35">
      <c r="G1597" s="321">
        <v>45312</v>
      </c>
    </row>
    <row r="1598" spans="7:7" hidden="1" x14ac:dyDescent="0.35">
      <c r="G1598" s="321">
        <v>45313</v>
      </c>
    </row>
    <row r="1599" spans="7:7" hidden="1" x14ac:dyDescent="0.35">
      <c r="G1599" s="321">
        <v>45314</v>
      </c>
    </row>
    <row r="1600" spans="7:7" hidden="1" x14ac:dyDescent="0.35">
      <c r="G1600" s="321">
        <v>45315</v>
      </c>
    </row>
    <row r="1601" spans="7:7" hidden="1" x14ac:dyDescent="0.35">
      <c r="G1601" s="321">
        <v>45316</v>
      </c>
    </row>
    <row r="1602" spans="7:7" hidden="1" x14ac:dyDescent="0.35">
      <c r="G1602" s="321">
        <v>45317</v>
      </c>
    </row>
    <row r="1603" spans="7:7" hidden="1" x14ac:dyDescent="0.35">
      <c r="G1603" s="321">
        <v>45318</v>
      </c>
    </row>
    <row r="1604" spans="7:7" hidden="1" x14ac:dyDescent="0.35">
      <c r="G1604" s="321">
        <v>45319</v>
      </c>
    </row>
    <row r="1605" spans="7:7" hidden="1" x14ac:dyDescent="0.35">
      <c r="G1605" s="321">
        <v>45320</v>
      </c>
    </row>
    <row r="1606" spans="7:7" hidden="1" x14ac:dyDescent="0.35">
      <c r="G1606" s="321">
        <v>45321</v>
      </c>
    </row>
    <row r="1607" spans="7:7" hidden="1" x14ac:dyDescent="0.35">
      <c r="G1607" s="321">
        <v>45322</v>
      </c>
    </row>
    <row r="1608" spans="7:7" hidden="1" x14ac:dyDescent="0.35">
      <c r="G1608" s="321">
        <v>45323</v>
      </c>
    </row>
    <row r="1609" spans="7:7" hidden="1" x14ac:dyDescent="0.35">
      <c r="G1609" s="321">
        <v>45324</v>
      </c>
    </row>
    <row r="1610" spans="7:7" hidden="1" x14ac:dyDescent="0.35">
      <c r="G1610" s="321">
        <v>45325</v>
      </c>
    </row>
    <row r="1611" spans="7:7" hidden="1" x14ac:dyDescent="0.35">
      <c r="G1611" s="321">
        <v>45326</v>
      </c>
    </row>
    <row r="1612" spans="7:7" hidden="1" x14ac:dyDescent="0.35">
      <c r="G1612" s="321">
        <v>45327</v>
      </c>
    </row>
    <row r="1613" spans="7:7" hidden="1" x14ac:dyDescent="0.35">
      <c r="G1613" s="321">
        <v>45328</v>
      </c>
    </row>
    <row r="1614" spans="7:7" hidden="1" x14ac:dyDescent="0.35">
      <c r="G1614" s="321">
        <v>45329</v>
      </c>
    </row>
    <row r="1615" spans="7:7" hidden="1" x14ac:dyDescent="0.35">
      <c r="G1615" s="321">
        <v>45330</v>
      </c>
    </row>
    <row r="1616" spans="7:7" hidden="1" x14ac:dyDescent="0.35">
      <c r="G1616" s="321">
        <v>45331</v>
      </c>
    </row>
    <row r="1617" spans="7:7" hidden="1" x14ac:dyDescent="0.35">
      <c r="G1617" s="321">
        <v>45332</v>
      </c>
    </row>
    <row r="1618" spans="7:7" hidden="1" x14ac:dyDescent="0.35">
      <c r="G1618" s="321">
        <v>45333</v>
      </c>
    </row>
    <row r="1619" spans="7:7" hidden="1" x14ac:dyDescent="0.35">
      <c r="G1619" s="321">
        <v>45334</v>
      </c>
    </row>
    <row r="1620" spans="7:7" hidden="1" x14ac:dyDescent="0.35">
      <c r="G1620" s="321">
        <v>45335</v>
      </c>
    </row>
    <row r="1621" spans="7:7" hidden="1" x14ac:dyDescent="0.35">
      <c r="G1621" s="321">
        <v>45336</v>
      </c>
    </row>
    <row r="1622" spans="7:7" hidden="1" x14ac:dyDescent="0.35">
      <c r="G1622" s="321">
        <v>45337</v>
      </c>
    </row>
    <row r="1623" spans="7:7" hidden="1" x14ac:dyDescent="0.35">
      <c r="G1623" s="321">
        <v>45338</v>
      </c>
    </row>
    <row r="1624" spans="7:7" hidden="1" x14ac:dyDescent="0.35">
      <c r="G1624" s="321">
        <v>45339</v>
      </c>
    </row>
    <row r="1625" spans="7:7" hidden="1" x14ac:dyDescent="0.35">
      <c r="G1625" s="321">
        <v>45340</v>
      </c>
    </row>
    <row r="1626" spans="7:7" hidden="1" x14ac:dyDescent="0.35">
      <c r="G1626" s="321">
        <v>45341</v>
      </c>
    </row>
    <row r="1627" spans="7:7" hidden="1" x14ac:dyDescent="0.35">
      <c r="G1627" s="321">
        <v>45342</v>
      </c>
    </row>
    <row r="1628" spans="7:7" hidden="1" x14ac:dyDescent="0.35">
      <c r="G1628" s="321">
        <v>45343</v>
      </c>
    </row>
    <row r="1629" spans="7:7" hidden="1" x14ac:dyDescent="0.35">
      <c r="G1629" s="321">
        <v>45344</v>
      </c>
    </row>
    <row r="1630" spans="7:7" hidden="1" x14ac:dyDescent="0.35">
      <c r="G1630" s="321">
        <v>45345</v>
      </c>
    </row>
    <row r="1631" spans="7:7" hidden="1" x14ac:dyDescent="0.35">
      <c r="G1631" s="321">
        <v>45346</v>
      </c>
    </row>
    <row r="1632" spans="7:7" hidden="1" x14ac:dyDescent="0.35">
      <c r="G1632" s="321">
        <v>45347</v>
      </c>
    </row>
    <row r="1633" spans="7:7" hidden="1" x14ac:dyDescent="0.35">
      <c r="G1633" s="321">
        <v>45348</v>
      </c>
    </row>
    <row r="1634" spans="7:7" hidden="1" x14ac:dyDescent="0.35">
      <c r="G1634" s="321">
        <v>45349</v>
      </c>
    </row>
    <row r="1635" spans="7:7" hidden="1" x14ac:dyDescent="0.35">
      <c r="G1635" s="321">
        <v>45350</v>
      </c>
    </row>
    <row r="1636" spans="7:7" hidden="1" x14ac:dyDescent="0.35">
      <c r="G1636" s="321">
        <v>45351</v>
      </c>
    </row>
    <row r="1637" spans="7:7" hidden="1" x14ac:dyDescent="0.35">
      <c r="G1637" s="321">
        <v>45352</v>
      </c>
    </row>
    <row r="1638" spans="7:7" hidden="1" x14ac:dyDescent="0.35">
      <c r="G1638" s="321">
        <v>45353</v>
      </c>
    </row>
    <row r="1639" spans="7:7" hidden="1" x14ac:dyDescent="0.35">
      <c r="G1639" s="321">
        <v>45354</v>
      </c>
    </row>
    <row r="1640" spans="7:7" hidden="1" x14ac:dyDescent="0.35">
      <c r="G1640" s="321">
        <v>45355</v>
      </c>
    </row>
    <row r="1641" spans="7:7" hidden="1" x14ac:dyDescent="0.35">
      <c r="G1641" s="321">
        <v>45356</v>
      </c>
    </row>
    <row r="1642" spans="7:7" hidden="1" x14ac:dyDescent="0.35">
      <c r="G1642" s="321">
        <v>45357</v>
      </c>
    </row>
    <row r="1643" spans="7:7" hidden="1" x14ac:dyDescent="0.35">
      <c r="G1643" s="321">
        <v>45358</v>
      </c>
    </row>
    <row r="1644" spans="7:7" hidden="1" x14ac:dyDescent="0.35">
      <c r="G1644" s="321">
        <v>45359</v>
      </c>
    </row>
    <row r="1645" spans="7:7" hidden="1" x14ac:dyDescent="0.35">
      <c r="G1645" s="321">
        <v>45360</v>
      </c>
    </row>
    <row r="1646" spans="7:7" hidden="1" x14ac:dyDescent="0.35">
      <c r="G1646" s="321">
        <v>45361</v>
      </c>
    </row>
    <row r="1647" spans="7:7" hidden="1" x14ac:dyDescent="0.35">
      <c r="G1647" s="321">
        <v>45362</v>
      </c>
    </row>
    <row r="1648" spans="7:7" hidden="1" x14ac:dyDescent="0.35">
      <c r="G1648" s="321">
        <v>45363</v>
      </c>
    </row>
    <row r="1649" spans="7:7" hidden="1" x14ac:dyDescent="0.35">
      <c r="G1649" s="321">
        <v>45364</v>
      </c>
    </row>
    <row r="1650" spans="7:7" hidden="1" x14ac:dyDescent="0.35">
      <c r="G1650" s="321">
        <v>45365</v>
      </c>
    </row>
    <row r="1651" spans="7:7" hidden="1" x14ac:dyDescent="0.35">
      <c r="G1651" s="321">
        <v>45366</v>
      </c>
    </row>
    <row r="1652" spans="7:7" hidden="1" x14ac:dyDescent="0.35">
      <c r="G1652" s="321">
        <v>45367</v>
      </c>
    </row>
    <row r="1653" spans="7:7" hidden="1" x14ac:dyDescent="0.35">
      <c r="G1653" s="321">
        <v>45368</v>
      </c>
    </row>
    <row r="1654" spans="7:7" hidden="1" x14ac:dyDescent="0.35">
      <c r="G1654" s="321">
        <v>45369</v>
      </c>
    </row>
    <row r="1655" spans="7:7" hidden="1" x14ac:dyDescent="0.35">
      <c r="G1655" s="321">
        <v>45370</v>
      </c>
    </row>
    <row r="1656" spans="7:7" hidden="1" x14ac:dyDescent="0.35">
      <c r="G1656" s="321">
        <v>45371</v>
      </c>
    </row>
    <row r="1657" spans="7:7" hidden="1" x14ac:dyDescent="0.35">
      <c r="G1657" s="321">
        <v>45372</v>
      </c>
    </row>
    <row r="1658" spans="7:7" hidden="1" x14ac:dyDescent="0.35">
      <c r="G1658" s="321">
        <v>45373</v>
      </c>
    </row>
    <row r="1659" spans="7:7" hidden="1" x14ac:dyDescent="0.35">
      <c r="G1659" s="321">
        <v>45374</v>
      </c>
    </row>
    <row r="1660" spans="7:7" hidden="1" x14ac:dyDescent="0.35">
      <c r="G1660" s="321">
        <v>45375</v>
      </c>
    </row>
    <row r="1661" spans="7:7" hidden="1" x14ac:dyDescent="0.35">
      <c r="G1661" s="321">
        <v>45376</v>
      </c>
    </row>
    <row r="1662" spans="7:7" hidden="1" x14ac:dyDescent="0.35">
      <c r="G1662" s="321">
        <v>45377</v>
      </c>
    </row>
    <row r="1663" spans="7:7" hidden="1" x14ac:dyDescent="0.35">
      <c r="G1663" s="321">
        <v>45378</v>
      </c>
    </row>
    <row r="1664" spans="7:7" hidden="1" x14ac:dyDescent="0.35">
      <c r="G1664" s="321">
        <v>45379</v>
      </c>
    </row>
    <row r="1665" spans="7:7" hidden="1" x14ac:dyDescent="0.35">
      <c r="G1665" s="321">
        <v>45380</v>
      </c>
    </row>
    <row r="1666" spans="7:7" hidden="1" x14ac:dyDescent="0.35">
      <c r="G1666" s="321">
        <v>45381</v>
      </c>
    </row>
    <row r="1667" spans="7:7" hidden="1" x14ac:dyDescent="0.35">
      <c r="G1667" s="321">
        <v>45382</v>
      </c>
    </row>
    <row r="1668" spans="7:7" hidden="1" x14ac:dyDescent="0.35">
      <c r="G1668" s="321">
        <v>45383</v>
      </c>
    </row>
    <row r="1669" spans="7:7" hidden="1" x14ac:dyDescent="0.35">
      <c r="G1669" s="321">
        <v>45384</v>
      </c>
    </row>
    <row r="1670" spans="7:7" hidden="1" x14ac:dyDescent="0.35">
      <c r="G1670" s="321">
        <v>45385</v>
      </c>
    </row>
    <row r="1671" spans="7:7" hidden="1" x14ac:dyDescent="0.35">
      <c r="G1671" s="321">
        <v>45386</v>
      </c>
    </row>
    <row r="1672" spans="7:7" hidden="1" x14ac:dyDescent="0.35">
      <c r="G1672" s="321">
        <v>45387</v>
      </c>
    </row>
    <row r="1673" spans="7:7" hidden="1" x14ac:dyDescent="0.35">
      <c r="G1673" s="321">
        <v>45388</v>
      </c>
    </row>
    <row r="1674" spans="7:7" hidden="1" x14ac:dyDescent="0.35">
      <c r="G1674" s="321">
        <v>45389</v>
      </c>
    </row>
    <row r="1675" spans="7:7" hidden="1" x14ac:dyDescent="0.35">
      <c r="G1675" s="321">
        <v>45390</v>
      </c>
    </row>
    <row r="1676" spans="7:7" hidden="1" x14ac:dyDescent="0.35">
      <c r="G1676" s="321">
        <v>45391</v>
      </c>
    </row>
    <row r="1677" spans="7:7" hidden="1" x14ac:dyDescent="0.35">
      <c r="G1677" s="321">
        <v>45392</v>
      </c>
    </row>
    <row r="1678" spans="7:7" hidden="1" x14ac:dyDescent="0.35">
      <c r="G1678" s="321">
        <v>45393</v>
      </c>
    </row>
    <row r="1679" spans="7:7" hidden="1" x14ac:dyDescent="0.35">
      <c r="G1679" s="321">
        <v>45394</v>
      </c>
    </row>
    <row r="1680" spans="7:7" hidden="1" x14ac:dyDescent="0.35">
      <c r="G1680" s="321">
        <v>45395</v>
      </c>
    </row>
    <row r="1681" spans="7:7" hidden="1" x14ac:dyDescent="0.35">
      <c r="G1681" s="321">
        <v>45396</v>
      </c>
    </row>
    <row r="1682" spans="7:7" hidden="1" x14ac:dyDescent="0.35">
      <c r="G1682" s="321">
        <v>45397</v>
      </c>
    </row>
    <row r="1683" spans="7:7" hidden="1" x14ac:dyDescent="0.35">
      <c r="G1683" s="321">
        <v>45398</v>
      </c>
    </row>
    <row r="1684" spans="7:7" hidden="1" x14ac:dyDescent="0.35">
      <c r="G1684" s="321">
        <v>45399</v>
      </c>
    </row>
    <row r="1685" spans="7:7" hidden="1" x14ac:dyDescent="0.35">
      <c r="G1685" s="321">
        <v>45400</v>
      </c>
    </row>
    <row r="1686" spans="7:7" hidden="1" x14ac:dyDescent="0.35">
      <c r="G1686" s="321">
        <v>45401</v>
      </c>
    </row>
    <row r="1687" spans="7:7" hidden="1" x14ac:dyDescent="0.35">
      <c r="G1687" s="321">
        <v>45402</v>
      </c>
    </row>
    <row r="1688" spans="7:7" hidden="1" x14ac:dyDescent="0.35">
      <c r="G1688" s="321">
        <v>45403</v>
      </c>
    </row>
    <row r="1689" spans="7:7" hidden="1" x14ac:dyDescent="0.35">
      <c r="G1689" s="321">
        <v>45404</v>
      </c>
    </row>
    <row r="1690" spans="7:7" hidden="1" x14ac:dyDescent="0.35">
      <c r="G1690" s="321">
        <v>45405</v>
      </c>
    </row>
    <row r="1691" spans="7:7" hidden="1" x14ac:dyDescent="0.35">
      <c r="G1691" s="321">
        <v>45406</v>
      </c>
    </row>
    <row r="1692" spans="7:7" hidden="1" x14ac:dyDescent="0.35">
      <c r="G1692" s="321">
        <v>45407</v>
      </c>
    </row>
    <row r="1693" spans="7:7" hidden="1" x14ac:dyDescent="0.35">
      <c r="G1693" s="321">
        <v>45408</v>
      </c>
    </row>
    <row r="1694" spans="7:7" hidden="1" x14ac:dyDescent="0.35">
      <c r="G1694" s="321">
        <v>45409</v>
      </c>
    </row>
    <row r="1695" spans="7:7" hidden="1" x14ac:dyDescent="0.35">
      <c r="G1695" s="321">
        <v>45410</v>
      </c>
    </row>
    <row r="1696" spans="7:7" hidden="1" x14ac:dyDescent="0.35">
      <c r="G1696" s="321">
        <v>45411</v>
      </c>
    </row>
    <row r="1697" spans="7:7" hidden="1" x14ac:dyDescent="0.35">
      <c r="G1697" s="321">
        <v>45412</v>
      </c>
    </row>
    <row r="1698" spans="7:7" hidden="1" x14ac:dyDescent="0.35">
      <c r="G1698" s="321">
        <v>45413</v>
      </c>
    </row>
    <row r="1699" spans="7:7" hidden="1" x14ac:dyDescent="0.35">
      <c r="G1699" s="321">
        <v>45414</v>
      </c>
    </row>
    <row r="1700" spans="7:7" hidden="1" x14ac:dyDescent="0.35">
      <c r="G1700" s="321">
        <v>45415</v>
      </c>
    </row>
    <row r="1701" spans="7:7" hidden="1" x14ac:dyDescent="0.35">
      <c r="G1701" s="321">
        <v>45416</v>
      </c>
    </row>
    <row r="1702" spans="7:7" hidden="1" x14ac:dyDescent="0.35">
      <c r="G1702" s="321">
        <v>45417</v>
      </c>
    </row>
    <row r="1703" spans="7:7" hidden="1" x14ac:dyDescent="0.35">
      <c r="G1703" s="321">
        <v>45418</v>
      </c>
    </row>
    <row r="1704" spans="7:7" hidden="1" x14ac:dyDescent="0.35">
      <c r="G1704" s="321">
        <v>45419</v>
      </c>
    </row>
    <row r="1705" spans="7:7" hidden="1" x14ac:dyDescent="0.35">
      <c r="G1705" s="321">
        <v>45420</v>
      </c>
    </row>
    <row r="1706" spans="7:7" hidden="1" x14ac:dyDescent="0.35">
      <c r="G1706" s="321">
        <v>45421</v>
      </c>
    </row>
    <row r="1707" spans="7:7" hidden="1" x14ac:dyDescent="0.35">
      <c r="G1707" s="321">
        <v>45422</v>
      </c>
    </row>
    <row r="1708" spans="7:7" hidden="1" x14ac:dyDescent="0.35">
      <c r="G1708" s="321">
        <v>45423</v>
      </c>
    </row>
    <row r="1709" spans="7:7" hidden="1" x14ac:dyDescent="0.35">
      <c r="G1709" s="321">
        <v>45424</v>
      </c>
    </row>
    <row r="1710" spans="7:7" hidden="1" x14ac:dyDescent="0.35">
      <c r="G1710" s="321">
        <v>45425</v>
      </c>
    </row>
    <row r="1711" spans="7:7" hidden="1" x14ac:dyDescent="0.35">
      <c r="G1711" s="321">
        <v>45426</v>
      </c>
    </row>
    <row r="1712" spans="7:7" hidden="1" x14ac:dyDescent="0.35">
      <c r="G1712" s="321">
        <v>45427</v>
      </c>
    </row>
    <row r="1713" spans="7:7" hidden="1" x14ac:dyDescent="0.35">
      <c r="G1713" s="321">
        <v>45428</v>
      </c>
    </row>
    <row r="1714" spans="7:7" hidden="1" x14ac:dyDescent="0.35">
      <c r="G1714" s="321">
        <v>45429</v>
      </c>
    </row>
    <row r="1715" spans="7:7" hidden="1" x14ac:dyDescent="0.35">
      <c r="G1715" s="321">
        <v>45430</v>
      </c>
    </row>
    <row r="1716" spans="7:7" hidden="1" x14ac:dyDescent="0.35">
      <c r="G1716" s="321">
        <v>45431</v>
      </c>
    </row>
    <row r="1717" spans="7:7" hidden="1" x14ac:dyDescent="0.35">
      <c r="G1717" s="321">
        <v>45432</v>
      </c>
    </row>
    <row r="1718" spans="7:7" hidden="1" x14ac:dyDescent="0.35">
      <c r="G1718" s="321">
        <v>45433</v>
      </c>
    </row>
    <row r="1719" spans="7:7" hidden="1" x14ac:dyDescent="0.35">
      <c r="G1719" s="321">
        <v>45434</v>
      </c>
    </row>
    <row r="1720" spans="7:7" hidden="1" x14ac:dyDescent="0.35">
      <c r="G1720" s="321">
        <v>45435</v>
      </c>
    </row>
    <row r="1721" spans="7:7" hidden="1" x14ac:dyDescent="0.35">
      <c r="G1721" s="321">
        <v>45436</v>
      </c>
    </row>
    <row r="1722" spans="7:7" hidden="1" x14ac:dyDescent="0.35">
      <c r="G1722" s="321">
        <v>45437</v>
      </c>
    </row>
    <row r="1723" spans="7:7" hidden="1" x14ac:dyDescent="0.35">
      <c r="G1723" s="321">
        <v>45438</v>
      </c>
    </row>
    <row r="1724" spans="7:7" hidden="1" x14ac:dyDescent="0.35">
      <c r="G1724" s="321">
        <v>45439</v>
      </c>
    </row>
    <row r="1725" spans="7:7" hidden="1" x14ac:dyDescent="0.35">
      <c r="G1725" s="321">
        <v>45440</v>
      </c>
    </row>
    <row r="1726" spans="7:7" hidden="1" x14ac:dyDescent="0.35">
      <c r="G1726" s="321">
        <v>45441</v>
      </c>
    </row>
    <row r="1727" spans="7:7" hidden="1" x14ac:dyDescent="0.35">
      <c r="G1727" s="321">
        <v>45442</v>
      </c>
    </row>
    <row r="1728" spans="7:7" hidden="1" x14ac:dyDescent="0.35">
      <c r="G1728" s="321">
        <v>45443</v>
      </c>
    </row>
    <row r="1729" spans="7:7" hidden="1" x14ac:dyDescent="0.35">
      <c r="G1729" s="321">
        <v>45444</v>
      </c>
    </row>
    <row r="1730" spans="7:7" hidden="1" x14ac:dyDescent="0.35">
      <c r="G1730" s="321">
        <v>45445</v>
      </c>
    </row>
    <row r="1731" spans="7:7" hidden="1" x14ac:dyDescent="0.35">
      <c r="G1731" s="321">
        <v>45446</v>
      </c>
    </row>
    <row r="1732" spans="7:7" hidden="1" x14ac:dyDescent="0.35">
      <c r="G1732" s="321">
        <v>45447</v>
      </c>
    </row>
    <row r="1733" spans="7:7" hidden="1" x14ac:dyDescent="0.35">
      <c r="G1733" s="321">
        <v>45448</v>
      </c>
    </row>
    <row r="1734" spans="7:7" hidden="1" x14ac:dyDescent="0.35">
      <c r="G1734" s="321">
        <v>45449</v>
      </c>
    </row>
    <row r="1735" spans="7:7" hidden="1" x14ac:dyDescent="0.35">
      <c r="G1735" s="321">
        <v>45450</v>
      </c>
    </row>
    <row r="1736" spans="7:7" hidden="1" x14ac:dyDescent="0.35">
      <c r="G1736" s="321">
        <v>45451</v>
      </c>
    </row>
    <row r="1737" spans="7:7" hidden="1" x14ac:dyDescent="0.35">
      <c r="G1737" s="321">
        <v>45452</v>
      </c>
    </row>
    <row r="1738" spans="7:7" hidden="1" x14ac:dyDescent="0.35">
      <c r="G1738" s="321">
        <v>45453</v>
      </c>
    </row>
    <row r="1739" spans="7:7" hidden="1" x14ac:dyDescent="0.35">
      <c r="G1739" s="321">
        <v>45454</v>
      </c>
    </row>
    <row r="1740" spans="7:7" hidden="1" x14ac:dyDescent="0.35">
      <c r="G1740" s="321">
        <v>45455</v>
      </c>
    </row>
    <row r="1741" spans="7:7" hidden="1" x14ac:dyDescent="0.35">
      <c r="G1741" s="321">
        <v>45456</v>
      </c>
    </row>
    <row r="1742" spans="7:7" hidden="1" x14ac:dyDescent="0.35">
      <c r="G1742" s="321">
        <v>45457</v>
      </c>
    </row>
    <row r="1743" spans="7:7" hidden="1" x14ac:dyDescent="0.35">
      <c r="G1743" s="321">
        <v>45458</v>
      </c>
    </row>
    <row r="1744" spans="7:7" hidden="1" x14ac:dyDescent="0.35">
      <c r="G1744" s="321">
        <v>45459</v>
      </c>
    </row>
    <row r="1745" spans="7:7" hidden="1" x14ac:dyDescent="0.35">
      <c r="G1745" s="321">
        <v>45460</v>
      </c>
    </row>
    <row r="1746" spans="7:7" hidden="1" x14ac:dyDescent="0.35">
      <c r="G1746" s="321">
        <v>45461</v>
      </c>
    </row>
    <row r="1747" spans="7:7" hidden="1" x14ac:dyDescent="0.35">
      <c r="G1747" s="321">
        <v>45462</v>
      </c>
    </row>
    <row r="1748" spans="7:7" hidden="1" x14ac:dyDescent="0.35">
      <c r="G1748" s="321">
        <v>45463</v>
      </c>
    </row>
    <row r="1749" spans="7:7" hidden="1" x14ac:dyDescent="0.35">
      <c r="G1749" s="321">
        <v>45464</v>
      </c>
    </row>
    <row r="1750" spans="7:7" hidden="1" x14ac:dyDescent="0.35">
      <c r="G1750" s="321">
        <v>45465</v>
      </c>
    </row>
    <row r="1751" spans="7:7" hidden="1" x14ac:dyDescent="0.35">
      <c r="G1751" s="321">
        <v>45466</v>
      </c>
    </row>
    <row r="1752" spans="7:7" hidden="1" x14ac:dyDescent="0.35">
      <c r="G1752" s="321">
        <v>45467</v>
      </c>
    </row>
    <row r="1753" spans="7:7" hidden="1" x14ac:dyDescent="0.35">
      <c r="G1753" s="321">
        <v>45468</v>
      </c>
    </row>
    <row r="1754" spans="7:7" hidden="1" x14ac:dyDescent="0.35">
      <c r="G1754" s="321">
        <v>45469</v>
      </c>
    </row>
    <row r="1755" spans="7:7" hidden="1" x14ac:dyDescent="0.35">
      <c r="G1755" s="321">
        <v>45470</v>
      </c>
    </row>
    <row r="1756" spans="7:7" hidden="1" x14ac:dyDescent="0.35">
      <c r="G1756" s="321">
        <v>45471</v>
      </c>
    </row>
    <row r="1757" spans="7:7" hidden="1" x14ac:dyDescent="0.35">
      <c r="G1757" s="321">
        <v>45472</v>
      </c>
    </row>
    <row r="1758" spans="7:7" hidden="1" x14ac:dyDescent="0.35">
      <c r="G1758" s="321">
        <v>45473</v>
      </c>
    </row>
    <row r="1759" spans="7:7" hidden="1" x14ac:dyDescent="0.35">
      <c r="G1759" s="321">
        <v>45474</v>
      </c>
    </row>
    <row r="1760" spans="7:7" hidden="1" x14ac:dyDescent="0.35">
      <c r="G1760" s="321">
        <v>45475</v>
      </c>
    </row>
    <row r="1761" spans="7:7" hidden="1" x14ac:dyDescent="0.35">
      <c r="G1761" s="321">
        <v>45476</v>
      </c>
    </row>
    <row r="1762" spans="7:7" hidden="1" x14ac:dyDescent="0.35">
      <c r="G1762" s="321">
        <v>45477</v>
      </c>
    </row>
    <row r="1763" spans="7:7" hidden="1" x14ac:dyDescent="0.35">
      <c r="G1763" s="321">
        <v>45478</v>
      </c>
    </row>
    <row r="1764" spans="7:7" hidden="1" x14ac:dyDescent="0.35">
      <c r="G1764" s="321">
        <v>45479</v>
      </c>
    </row>
    <row r="1765" spans="7:7" hidden="1" x14ac:dyDescent="0.35">
      <c r="G1765" s="321">
        <v>45480</v>
      </c>
    </row>
    <row r="1766" spans="7:7" hidden="1" x14ac:dyDescent="0.35">
      <c r="G1766" s="321">
        <v>45481</v>
      </c>
    </row>
    <row r="1767" spans="7:7" hidden="1" x14ac:dyDescent="0.35">
      <c r="G1767" s="321">
        <v>45482</v>
      </c>
    </row>
    <row r="1768" spans="7:7" hidden="1" x14ac:dyDescent="0.35">
      <c r="G1768" s="321">
        <v>45483</v>
      </c>
    </row>
    <row r="1769" spans="7:7" hidden="1" x14ac:dyDescent="0.35">
      <c r="G1769" s="321">
        <v>45484</v>
      </c>
    </row>
    <row r="1770" spans="7:7" hidden="1" x14ac:dyDescent="0.35">
      <c r="G1770" s="321">
        <v>45485</v>
      </c>
    </row>
    <row r="1771" spans="7:7" hidden="1" x14ac:dyDescent="0.35">
      <c r="G1771" s="321">
        <v>45486</v>
      </c>
    </row>
    <row r="1772" spans="7:7" hidden="1" x14ac:dyDescent="0.35">
      <c r="G1772" s="321">
        <v>45487</v>
      </c>
    </row>
    <row r="1773" spans="7:7" hidden="1" x14ac:dyDescent="0.35">
      <c r="G1773" s="321">
        <v>45488</v>
      </c>
    </row>
    <row r="1774" spans="7:7" hidden="1" x14ac:dyDescent="0.35">
      <c r="G1774" s="321">
        <v>45489</v>
      </c>
    </row>
    <row r="1775" spans="7:7" hidden="1" x14ac:dyDescent="0.35">
      <c r="G1775" s="321">
        <v>45490</v>
      </c>
    </row>
    <row r="1776" spans="7:7" hidden="1" x14ac:dyDescent="0.35">
      <c r="G1776" s="321">
        <v>45491</v>
      </c>
    </row>
    <row r="1777" spans="7:7" hidden="1" x14ac:dyDescent="0.35">
      <c r="G1777" s="321">
        <v>45492</v>
      </c>
    </row>
    <row r="1778" spans="7:7" hidden="1" x14ac:dyDescent="0.35">
      <c r="G1778" s="321">
        <v>45493</v>
      </c>
    </row>
    <row r="1779" spans="7:7" hidden="1" x14ac:dyDescent="0.35">
      <c r="G1779" s="321">
        <v>45494</v>
      </c>
    </row>
    <row r="1780" spans="7:7" hidden="1" x14ac:dyDescent="0.35">
      <c r="G1780" s="321">
        <v>45495</v>
      </c>
    </row>
    <row r="1781" spans="7:7" hidden="1" x14ac:dyDescent="0.35">
      <c r="G1781" s="321">
        <v>45496</v>
      </c>
    </row>
    <row r="1782" spans="7:7" hidden="1" x14ac:dyDescent="0.35">
      <c r="G1782" s="321">
        <v>45497</v>
      </c>
    </row>
    <row r="1783" spans="7:7" hidden="1" x14ac:dyDescent="0.35">
      <c r="G1783" s="321">
        <v>45498</v>
      </c>
    </row>
    <row r="1784" spans="7:7" hidden="1" x14ac:dyDescent="0.35">
      <c r="G1784" s="321">
        <v>45499</v>
      </c>
    </row>
    <row r="1785" spans="7:7" hidden="1" x14ac:dyDescent="0.35">
      <c r="G1785" s="321">
        <v>45500</v>
      </c>
    </row>
    <row r="1786" spans="7:7" hidden="1" x14ac:dyDescent="0.35">
      <c r="G1786" s="321">
        <v>45501</v>
      </c>
    </row>
    <row r="1787" spans="7:7" hidden="1" x14ac:dyDescent="0.35">
      <c r="G1787" s="321">
        <v>45502</v>
      </c>
    </row>
    <row r="1788" spans="7:7" hidden="1" x14ac:dyDescent="0.35">
      <c r="G1788" s="321">
        <v>45503</v>
      </c>
    </row>
    <row r="1789" spans="7:7" hidden="1" x14ac:dyDescent="0.35">
      <c r="G1789" s="321">
        <v>45504</v>
      </c>
    </row>
    <row r="1790" spans="7:7" hidden="1" x14ac:dyDescent="0.35">
      <c r="G1790" s="321">
        <v>45505</v>
      </c>
    </row>
    <row r="1791" spans="7:7" hidden="1" x14ac:dyDescent="0.35">
      <c r="G1791" s="321">
        <v>45506</v>
      </c>
    </row>
    <row r="1792" spans="7:7" hidden="1" x14ac:dyDescent="0.35">
      <c r="G1792" s="321">
        <v>45507</v>
      </c>
    </row>
    <row r="1793" spans="7:7" hidden="1" x14ac:dyDescent="0.35">
      <c r="G1793" s="321">
        <v>45508</v>
      </c>
    </row>
    <row r="1794" spans="7:7" hidden="1" x14ac:dyDescent="0.35">
      <c r="G1794" s="321">
        <v>45509</v>
      </c>
    </row>
    <row r="1795" spans="7:7" hidden="1" x14ac:dyDescent="0.35">
      <c r="G1795" s="321">
        <v>45510</v>
      </c>
    </row>
    <row r="1796" spans="7:7" hidden="1" x14ac:dyDescent="0.35">
      <c r="G1796" s="321">
        <v>45511</v>
      </c>
    </row>
    <row r="1797" spans="7:7" hidden="1" x14ac:dyDescent="0.35">
      <c r="G1797" s="321">
        <v>45512</v>
      </c>
    </row>
    <row r="1798" spans="7:7" hidden="1" x14ac:dyDescent="0.35">
      <c r="G1798" s="321">
        <v>45513</v>
      </c>
    </row>
    <row r="1799" spans="7:7" hidden="1" x14ac:dyDescent="0.35">
      <c r="G1799" s="321">
        <v>45514</v>
      </c>
    </row>
    <row r="1800" spans="7:7" hidden="1" x14ac:dyDescent="0.35">
      <c r="G1800" s="321">
        <v>45515</v>
      </c>
    </row>
    <row r="1801" spans="7:7" hidden="1" x14ac:dyDescent="0.35">
      <c r="G1801" s="321">
        <v>45516</v>
      </c>
    </row>
    <row r="1802" spans="7:7" hidden="1" x14ac:dyDescent="0.35">
      <c r="G1802" s="321">
        <v>45517</v>
      </c>
    </row>
    <row r="1803" spans="7:7" hidden="1" x14ac:dyDescent="0.35">
      <c r="G1803" s="321">
        <v>45518</v>
      </c>
    </row>
    <row r="1804" spans="7:7" hidden="1" x14ac:dyDescent="0.35">
      <c r="G1804" s="321">
        <v>45519</v>
      </c>
    </row>
    <row r="1805" spans="7:7" hidden="1" x14ac:dyDescent="0.35">
      <c r="G1805" s="321">
        <v>45520</v>
      </c>
    </row>
    <row r="1806" spans="7:7" hidden="1" x14ac:dyDescent="0.35">
      <c r="G1806" s="321">
        <v>45521</v>
      </c>
    </row>
    <row r="1807" spans="7:7" hidden="1" x14ac:dyDescent="0.35">
      <c r="G1807" s="321">
        <v>45522</v>
      </c>
    </row>
    <row r="1808" spans="7:7" hidden="1" x14ac:dyDescent="0.35">
      <c r="G1808" s="321">
        <v>45523</v>
      </c>
    </row>
    <row r="1809" spans="7:7" hidden="1" x14ac:dyDescent="0.35">
      <c r="G1809" s="321">
        <v>45524</v>
      </c>
    </row>
    <row r="1810" spans="7:7" hidden="1" x14ac:dyDescent="0.35">
      <c r="G1810" s="321">
        <v>45525</v>
      </c>
    </row>
    <row r="1811" spans="7:7" hidden="1" x14ac:dyDescent="0.35">
      <c r="G1811" s="321">
        <v>45526</v>
      </c>
    </row>
    <row r="1812" spans="7:7" hidden="1" x14ac:dyDescent="0.35">
      <c r="G1812" s="321">
        <v>45527</v>
      </c>
    </row>
    <row r="1813" spans="7:7" hidden="1" x14ac:dyDescent="0.35">
      <c r="G1813" s="321">
        <v>45528</v>
      </c>
    </row>
    <row r="1814" spans="7:7" hidden="1" x14ac:dyDescent="0.35">
      <c r="G1814" s="321">
        <v>45529</v>
      </c>
    </row>
    <row r="1815" spans="7:7" hidden="1" x14ac:dyDescent="0.35">
      <c r="G1815" s="321">
        <v>45530</v>
      </c>
    </row>
    <row r="1816" spans="7:7" hidden="1" x14ac:dyDescent="0.35">
      <c r="G1816" s="321">
        <v>45531</v>
      </c>
    </row>
    <row r="1817" spans="7:7" hidden="1" x14ac:dyDescent="0.35">
      <c r="G1817" s="321">
        <v>45532</v>
      </c>
    </row>
    <row r="1818" spans="7:7" hidden="1" x14ac:dyDescent="0.35">
      <c r="G1818" s="321">
        <v>45533</v>
      </c>
    </row>
    <row r="1819" spans="7:7" hidden="1" x14ac:dyDescent="0.35">
      <c r="G1819" s="321">
        <v>45534</v>
      </c>
    </row>
    <row r="1820" spans="7:7" hidden="1" x14ac:dyDescent="0.35">
      <c r="G1820" s="321">
        <v>45535</v>
      </c>
    </row>
    <row r="1821" spans="7:7" hidden="1" x14ac:dyDescent="0.35">
      <c r="G1821" s="321">
        <v>45536</v>
      </c>
    </row>
    <row r="1822" spans="7:7" hidden="1" x14ac:dyDescent="0.35">
      <c r="G1822" s="321">
        <v>45537</v>
      </c>
    </row>
    <row r="1823" spans="7:7" hidden="1" x14ac:dyDescent="0.35">
      <c r="G1823" s="321">
        <v>45538</v>
      </c>
    </row>
    <row r="1824" spans="7:7" hidden="1" x14ac:dyDescent="0.35">
      <c r="G1824" s="321">
        <v>45539</v>
      </c>
    </row>
    <row r="1825" spans="7:7" hidden="1" x14ac:dyDescent="0.35">
      <c r="G1825" s="321">
        <v>45540</v>
      </c>
    </row>
    <row r="1826" spans="7:7" hidden="1" x14ac:dyDescent="0.35">
      <c r="G1826" s="321">
        <v>45541</v>
      </c>
    </row>
    <row r="1827" spans="7:7" hidden="1" x14ac:dyDescent="0.35">
      <c r="G1827" s="321">
        <v>45542</v>
      </c>
    </row>
    <row r="1828" spans="7:7" hidden="1" x14ac:dyDescent="0.35">
      <c r="G1828" s="321">
        <v>45543</v>
      </c>
    </row>
    <row r="1829" spans="7:7" hidden="1" x14ac:dyDescent="0.35">
      <c r="G1829" s="321">
        <v>45544</v>
      </c>
    </row>
    <row r="1830" spans="7:7" hidden="1" x14ac:dyDescent="0.35">
      <c r="G1830" s="321">
        <v>45545</v>
      </c>
    </row>
    <row r="1831" spans="7:7" hidden="1" x14ac:dyDescent="0.35">
      <c r="G1831" s="321">
        <v>45546</v>
      </c>
    </row>
    <row r="1832" spans="7:7" hidden="1" x14ac:dyDescent="0.35">
      <c r="G1832" s="321">
        <v>45547</v>
      </c>
    </row>
    <row r="1833" spans="7:7" hidden="1" x14ac:dyDescent="0.35">
      <c r="G1833" s="321">
        <v>45548</v>
      </c>
    </row>
    <row r="1834" spans="7:7" hidden="1" x14ac:dyDescent="0.35">
      <c r="G1834" s="321">
        <v>45549</v>
      </c>
    </row>
    <row r="1835" spans="7:7" hidden="1" x14ac:dyDescent="0.35">
      <c r="G1835" s="321">
        <v>45550</v>
      </c>
    </row>
    <row r="1836" spans="7:7" hidden="1" x14ac:dyDescent="0.35">
      <c r="G1836" s="321">
        <v>45551</v>
      </c>
    </row>
    <row r="1837" spans="7:7" hidden="1" x14ac:dyDescent="0.35">
      <c r="G1837" s="321">
        <v>45552</v>
      </c>
    </row>
    <row r="1838" spans="7:7" hidden="1" x14ac:dyDescent="0.35">
      <c r="G1838" s="321">
        <v>45553</v>
      </c>
    </row>
    <row r="1839" spans="7:7" hidden="1" x14ac:dyDescent="0.35">
      <c r="G1839" s="321">
        <v>45554</v>
      </c>
    </row>
    <row r="1840" spans="7:7" hidden="1" x14ac:dyDescent="0.35">
      <c r="G1840" s="321">
        <v>45555</v>
      </c>
    </row>
    <row r="1841" spans="7:7" hidden="1" x14ac:dyDescent="0.35">
      <c r="G1841" s="321">
        <v>45556</v>
      </c>
    </row>
    <row r="1842" spans="7:7" hidden="1" x14ac:dyDescent="0.35">
      <c r="G1842" s="321">
        <v>45557</v>
      </c>
    </row>
    <row r="1843" spans="7:7" hidden="1" x14ac:dyDescent="0.35">
      <c r="G1843" s="321">
        <v>45558</v>
      </c>
    </row>
    <row r="1844" spans="7:7" hidden="1" x14ac:dyDescent="0.35">
      <c r="G1844" s="321">
        <v>45559</v>
      </c>
    </row>
    <row r="1845" spans="7:7" hidden="1" x14ac:dyDescent="0.35">
      <c r="G1845" s="321">
        <v>45560</v>
      </c>
    </row>
    <row r="1846" spans="7:7" hidden="1" x14ac:dyDescent="0.35">
      <c r="G1846" s="321">
        <v>45561</v>
      </c>
    </row>
    <row r="1847" spans="7:7" hidden="1" x14ac:dyDescent="0.35">
      <c r="G1847" s="321">
        <v>45562</v>
      </c>
    </row>
    <row r="1848" spans="7:7" hidden="1" x14ac:dyDescent="0.35">
      <c r="G1848" s="321">
        <v>45563</v>
      </c>
    </row>
    <row r="1849" spans="7:7" hidden="1" x14ac:dyDescent="0.35">
      <c r="G1849" s="321">
        <v>45564</v>
      </c>
    </row>
    <row r="1850" spans="7:7" hidden="1" x14ac:dyDescent="0.35">
      <c r="G1850" s="321">
        <v>45565</v>
      </c>
    </row>
    <row r="1851" spans="7:7" hidden="1" x14ac:dyDescent="0.35">
      <c r="G1851" s="321">
        <v>45566</v>
      </c>
    </row>
    <row r="1852" spans="7:7" hidden="1" x14ac:dyDescent="0.35">
      <c r="G1852" s="321">
        <v>45567</v>
      </c>
    </row>
    <row r="1853" spans="7:7" hidden="1" x14ac:dyDescent="0.35">
      <c r="G1853" s="321">
        <v>45568</v>
      </c>
    </row>
    <row r="1854" spans="7:7" hidden="1" x14ac:dyDescent="0.35">
      <c r="G1854" s="321">
        <v>45569</v>
      </c>
    </row>
    <row r="1855" spans="7:7" hidden="1" x14ac:dyDescent="0.35">
      <c r="G1855" s="321">
        <v>45570</v>
      </c>
    </row>
    <row r="1856" spans="7:7" hidden="1" x14ac:dyDescent="0.35">
      <c r="G1856" s="321">
        <v>45571</v>
      </c>
    </row>
    <row r="1857" spans="7:7" hidden="1" x14ac:dyDescent="0.35">
      <c r="G1857" s="321">
        <v>45572</v>
      </c>
    </row>
    <row r="1858" spans="7:7" hidden="1" x14ac:dyDescent="0.35">
      <c r="G1858" s="321">
        <v>45573</v>
      </c>
    </row>
    <row r="1859" spans="7:7" hidden="1" x14ac:dyDescent="0.35">
      <c r="G1859" s="321">
        <v>45574</v>
      </c>
    </row>
    <row r="1860" spans="7:7" hidden="1" x14ac:dyDescent="0.35">
      <c r="G1860" s="321">
        <v>45575</v>
      </c>
    </row>
    <row r="1861" spans="7:7" hidden="1" x14ac:dyDescent="0.35">
      <c r="G1861" s="321">
        <v>45576</v>
      </c>
    </row>
    <row r="1862" spans="7:7" hidden="1" x14ac:dyDescent="0.35">
      <c r="G1862" s="321">
        <v>45577</v>
      </c>
    </row>
    <row r="1863" spans="7:7" hidden="1" x14ac:dyDescent="0.35">
      <c r="G1863" s="321">
        <v>45578</v>
      </c>
    </row>
    <row r="1864" spans="7:7" hidden="1" x14ac:dyDescent="0.35">
      <c r="G1864" s="321">
        <v>45579</v>
      </c>
    </row>
    <row r="1865" spans="7:7" hidden="1" x14ac:dyDescent="0.35">
      <c r="G1865" s="321">
        <v>45580</v>
      </c>
    </row>
    <row r="1866" spans="7:7" hidden="1" x14ac:dyDescent="0.35">
      <c r="G1866" s="321">
        <v>45581</v>
      </c>
    </row>
    <row r="1867" spans="7:7" hidden="1" x14ac:dyDescent="0.35">
      <c r="G1867" s="321">
        <v>45582</v>
      </c>
    </row>
    <row r="1868" spans="7:7" hidden="1" x14ac:dyDescent="0.35">
      <c r="G1868" s="321">
        <v>45583</v>
      </c>
    </row>
    <row r="1869" spans="7:7" hidden="1" x14ac:dyDescent="0.35">
      <c r="G1869" s="321">
        <v>45584</v>
      </c>
    </row>
    <row r="1870" spans="7:7" hidden="1" x14ac:dyDescent="0.35">
      <c r="G1870" s="321">
        <v>45585</v>
      </c>
    </row>
    <row r="1871" spans="7:7" hidden="1" x14ac:dyDescent="0.35">
      <c r="G1871" s="321">
        <v>45586</v>
      </c>
    </row>
    <row r="1872" spans="7:7" hidden="1" x14ac:dyDescent="0.35">
      <c r="G1872" s="321">
        <v>45587</v>
      </c>
    </row>
    <row r="1873" spans="7:7" hidden="1" x14ac:dyDescent="0.35">
      <c r="G1873" s="321">
        <v>45588</v>
      </c>
    </row>
    <row r="1874" spans="7:7" hidden="1" x14ac:dyDescent="0.35">
      <c r="G1874" s="321">
        <v>45589</v>
      </c>
    </row>
    <row r="1875" spans="7:7" hidden="1" x14ac:dyDescent="0.35">
      <c r="G1875" s="321">
        <v>45590</v>
      </c>
    </row>
    <row r="1876" spans="7:7" hidden="1" x14ac:dyDescent="0.35">
      <c r="G1876" s="321">
        <v>45591</v>
      </c>
    </row>
    <row r="1877" spans="7:7" hidden="1" x14ac:dyDescent="0.35">
      <c r="G1877" s="321">
        <v>45592</v>
      </c>
    </row>
    <row r="1878" spans="7:7" hidden="1" x14ac:dyDescent="0.35">
      <c r="G1878" s="321">
        <v>45593</v>
      </c>
    </row>
    <row r="1879" spans="7:7" hidden="1" x14ac:dyDescent="0.35">
      <c r="G1879" s="321">
        <v>45594</v>
      </c>
    </row>
    <row r="1880" spans="7:7" hidden="1" x14ac:dyDescent="0.35">
      <c r="G1880" s="321">
        <v>45595</v>
      </c>
    </row>
    <row r="1881" spans="7:7" hidden="1" x14ac:dyDescent="0.35">
      <c r="G1881" s="321">
        <v>45596</v>
      </c>
    </row>
    <row r="1882" spans="7:7" hidden="1" x14ac:dyDescent="0.35">
      <c r="G1882" s="321">
        <v>45597</v>
      </c>
    </row>
    <row r="1883" spans="7:7" hidden="1" x14ac:dyDescent="0.35">
      <c r="G1883" s="321">
        <v>45598</v>
      </c>
    </row>
    <row r="1884" spans="7:7" hidden="1" x14ac:dyDescent="0.35">
      <c r="G1884" s="321">
        <v>45599</v>
      </c>
    </row>
    <row r="1885" spans="7:7" hidden="1" x14ac:dyDescent="0.35">
      <c r="G1885" s="321">
        <v>45600</v>
      </c>
    </row>
    <row r="1886" spans="7:7" hidden="1" x14ac:dyDescent="0.35">
      <c r="G1886" s="321">
        <v>45601</v>
      </c>
    </row>
    <row r="1887" spans="7:7" hidden="1" x14ac:dyDescent="0.35">
      <c r="G1887" s="321">
        <v>45602</v>
      </c>
    </row>
    <row r="1888" spans="7:7" hidden="1" x14ac:dyDescent="0.35">
      <c r="G1888" s="321">
        <v>45603</v>
      </c>
    </row>
    <row r="1889" spans="7:7" hidden="1" x14ac:dyDescent="0.35">
      <c r="G1889" s="321">
        <v>45604</v>
      </c>
    </row>
    <row r="1890" spans="7:7" hidden="1" x14ac:dyDescent="0.35">
      <c r="G1890" s="321">
        <v>45605</v>
      </c>
    </row>
    <row r="1891" spans="7:7" hidden="1" x14ac:dyDescent="0.35">
      <c r="G1891" s="321">
        <v>45606</v>
      </c>
    </row>
    <row r="1892" spans="7:7" hidden="1" x14ac:dyDescent="0.35">
      <c r="G1892" s="321">
        <v>45607</v>
      </c>
    </row>
    <row r="1893" spans="7:7" hidden="1" x14ac:dyDescent="0.35">
      <c r="G1893" s="321">
        <v>45608</v>
      </c>
    </row>
    <row r="1894" spans="7:7" hidden="1" x14ac:dyDescent="0.35">
      <c r="G1894" s="321">
        <v>45609</v>
      </c>
    </row>
    <row r="1895" spans="7:7" hidden="1" x14ac:dyDescent="0.35">
      <c r="G1895" s="321">
        <v>45610</v>
      </c>
    </row>
    <row r="1896" spans="7:7" hidden="1" x14ac:dyDescent="0.35">
      <c r="G1896" s="321">
        <v>45611</v>
      </c>
    </row>
    <row r="1897" spans="7:7" hidden="1" x14ac:dyDescent="0.35">
      <c r="G1897" s="321">
        <v>45612</v>
      </c>
    </row>
    <row r="1898" spans="7:7" hidden="1" x14ac:dyDescent="0.35">
      <c r="G1898" s="321">
        <v>45613</v>
      </c>
    </row>
    <row r="1899" spans="7:7" hidden="1" x14ac:dyDescent="0.35">
      <c r="G1899" s="321">
        <v>45614</v>
      </c>
    </row>
    <row r="1900" spans="7:7" hidden="1" x14ac:dyDescent="0.35">
      <c r="G1900" s="321">
        <v>45615</v>
      </c>
    </row>
    <row r="1901" spans="7:7" hidden="1" x14ac:dyDescent="0.35">
      <c r="G1901" s="321">
        <v>45616</v>
      </c>
    </row>
    <row r="1902" spans="7:7" hidden="1" x14ac:dyDescent="0.35">
      <c r="G1902" s="321">
        <v>45617</v>
      </c>
    </row>
    <row r="1903" spans="7:7" hidden="1" x14ac:dyDescent="0.35">
      <c r="G1903" s="321">
        <v>45618</v>
      </c>
    </row>
    <row r="1904" spans="7:7" hidden="1" x14ac:dyDescent="0.35">
      <c r="G1904" s="321">
        <v>45619</v>
      </c>
    </row>
    <row r="1905" spans="7:7" hidden="1" x14ac:dyDescent="0.35">
      <c r="G1905" s="321">
        <v>45620</v>
      </c>
    </row>
    <row r="1906" spans="7:7" hidden="1" x14ac:dyDescent="0.35">
      <c r="G1906" s="321">
        <v>45621</v>
      </c>
    </row>
    <row r="1907" spans="7:7" hidden="1" x14ac:dyDescent="0.35">
      <c r="G1907" s="321">
        <v>45622</v>
      </c>
    </row>
    <row r="1908" spans="7:7" hidden="1" x14ac:dyDescent="0.35">
      <c r="G1908" s="321">
        <v>45623</v>
      </c>
    </row>
    <row r="1909" spans="7:7" hidden="1" x14ac:dyDescent="0.35">
      <c r="G1909" s="321">
        <v>45624</v>
      </c>
    </row>
    <row r="1910" spans="7:7" hidden="1" x14ac:dyDescent="0.35">
      <c r="G1910" s="321">
        <v>45625</v>
      </c>
    </row>
    <row r="1911" spans="7:7" hidden="1" x14ac:dyDescent="0.35">
      <c r="G1911" s="321">
        <v>45626</v>
      </c>
    </row>
    <row r="1912" spans="7:7" hidden="1" x14ac:dyDescent="0.35">
      <c r="G1912" s="321">
        <v>45627</v>
      </c>
    </row>
    <row r="1913" spans="7:7" hidden="1" x14ac:dyDescent="0.35">
      <c r="G1913" s="321">
        <v>45628</v>
      </c>
    </row>
    <row r="1914" spans="7:7" hidden="1" x14ac:dyDescent="0.35">
      <c r="G1914" s="321">
        <v>45629</v>
      </c>
    </row>
    <row r="1915" spans="7:7" hidden="1" x14ac:dyDescent="0.35">
      <c r="G1915" s="321">
        <v>45630</v>
      </c>
    </row>
    <row r="1916" spans="7:7" hidden="1" x14ac:dyDescent="0.35">
      <c r="G1916" s="321">
        <v>45631</v>
      </c>
    </row>
    <row r="1917" spans="7:7" hidden="1" x14ac:dyDescent="0.35">
      <c r="G1917" s="321">
        <v>45632</v>
      </c>
    </row>
    <row r="1918" spans="7:7" hidden="1" x14ac:dyDescent="0.35">
      <c r="G1918" s="321">
        <v>45633</v>
      </c>
    </row>
    <row r="1919" spans="7:7" hidden="1" x14ac:dyDescent="0.35">
      <c r="G1919" s="321">
        <v>45634</v>
      </c>
    </row>
    <row r="1920" spans="7:7" hidden="1" x14ac:dyDescent="0.35">
      <c r="G1920" s="321">
        <v>45635</v>
      </c>
    </row>
    <row r="1921" spans="7:7" hidden="1" x14ac:dyDescent="0.35">
      <c r="G1921" s="321">
        <v>45636</v>
      </c>
    </row>
    <row r="1922" spans="7:7" hidden="1" x14ac:dyDescent="0.35">
      <c r="G1922" s="321">
        <v>45637</v>
      </c>
    </row>
    <row r="1923" spans="7:7" hidden="1" x14ac:dyDescent="0.35">
      <c r="G1923" s="321">
        <v>45638</v>
      </c>
    </row>
    <row r="1924" spans="7:7" hidden="1" x14ac:dyDescent="0.35">
      <c r="G1924" s="321">
        <v>45639</v>
      </c>
    </row>
    <row r="1925" spans="7:7" hidden="1" x14ac:dyDescent="0.35">
      <c r="G1925" s="321">
        <v>45640</v>
      </c>
    </row>
    <row r="1926" spans="7:7" hidden="1" x14ac:dyDescent="0.35">
      <c r="G1926" s="321">
        <v>45641</v>
      </c>
    </row>
    <row r="1927" spans="7:7" hidden="1" x14ac:dyDescent="0.35">
      <c r="G1927" s="321">
        <v>45642</v>
      </c>
    </row>
    <row r="1928" spans="7:7" hidden="1" x14ac:dyDescent="0.35">
      <c r="G1928" s="321">
        <v>45643</v>
      </c>
    </row>
    <row r="1929" spans="7:7" hidden="1" x14ac:dyDescent="0.35">
      <c r="G1929" s="321">
        <v>45644</v>
      </c>
    </row>
    <row r="1930" spans="7:7" hidden="1" x14ac:dyDescent="0.35">
      <c r="G1930" s="321">
        <v>45645</v>
      </c>
    </row>
    <row r="1931" spans="7:7" hidden="1" x14ac:dyDescent="0.35">
      <c r="G1931" s="321">
        <v>45646</v>
      </c>
    </row>
    <row r="1932" spans="7:7" hidden="1" x14ac:dyDescent="0.35">
      <c r="G1932" s="321">
        <v>45647</v>
      </c>
    </row>
    <row r="1933" spans="7:7" hidden="1" x14ac:dyDescent="0.35">
      <c r="G1933" s="321">
        <v>45648</v>
      </c>
    </row>
    <row r="1934" spans="7:7" hidden="1" x14ac:dyDescent="0.35">
      <c r="G1934" s="321">
        <v>45649</v>
      </c>
    </row>
    <row r="1935" spans="7:7" hidden="1" x14ac:dyDescent="0.35">
      <c r="G1935" s="321">
        <v>45650</v>
      </c>
    </row>
    <row r="1936" spans="7:7" hidden="1" x14ac:dyDescent="0.35">
      <c r="G1936" s="321">
        <v>45651</v>
      </c>
    </row>
    <row r="1937" spans="7:7" hidden="1" x14ac:dyDescent="0.35">
      <c r="G1937" s="321">
        <v>45652</v>
      </c>
    </row>
    <row r="1938" spans="7:7" hidden="1" x14ac:dyDescent="0.35">
      <c r="G1938" s="321">
        <v>45653</v>
      </c>
    </row>
    <row r="1939" spans="7:7" hidden="1" x14ac:dyDescent="0.35">
      <c r="G1939" s="321">
        <v>45654</v>
      </c>
    </row>
    <row r="1940" spans="7:7" hidden="1" x14ac:dyDescent="0.35">
      <c r="G1940" s="321">
        <v>45655</v>
      </c>
    </row>
    <row r="1941" spans="7:7" hidden="1" x14ac:dyDescent="0.35">
      <c r="G1941" s="321">
        <v>45656</v>
      </c>
    </row>
    <row r="1942" spans="7:7" hidden="1" x14ac:dyDescent="0.35">
      <c r="G1942" s="321">
        <v>45657</v>
      </c>
    </row>
    <row r="1943" spans="7:7" hidden="1" x14ac:dyDescent="0.35">
      <c r="G1943" s="321">
        <v>45658</v>
      </c>
    </row>
    <row r="1944" spans="7:7" hidden="1" x14ac:dyDescent="0.35">
      <c r="G1944" s="321">
        <v>45659</v>
      </c>
    </row>
    <row r="1945" spans="7:7" hidden="1" x14ac:dyDescent="0.35">
      <c r="G1945" s="321">
        <v>45660</v>
      </c>
    </row>
    <row r="1946" spans="7:7" hidden="1" x14ac:dyDescent="0.35">
      <c r="G1946" s="321">
        <v>45661</v>
      </c>
    </row>
    <row r="1947" spans="7:7" hidden="1" x14ac:dyDescent="0.35">
      <c r="G1947" s="321">
        <v>45662</v>
      </c>
    </row>
    <row r="1948" spans="7:7" hidden="1" x14ac:dyDescent="0.35">
      <c r="G1948" s="321">
        <v>45663</v>
      </c>
    </row>
    <row r="1949" spans="7:7" hidden="1" x14ac:dyDescent="0.35">
      <c r="G1949" s="321">
        <v>45664</v>
      </c>
    </row>
    <row r="1950" spans="7:7" hidden="1" x14ac:dyDescent="0.35">
      <c r="G1950" s="321">
        <v>45665</v>
      </c>
    </row>
    <row r="1951" spans="7:7" hidden="1" x14ac:dyDescent="0.35">
      <c r="G1951" s="321">
        <v>45666</v>
      </c>
    </row>
    <row r="1952" spans="7:7" hidden="1" x14ac:dyDescent="0.35">
      <c r="G1952" s="321">
        <v>45667</v>
      </c>
    </row>
    <row r="1953" spans="7:7" hidden="1" x14ac:dyDescent="0.35">
      <c r="G1953" s="321">
        <v>45668</v>
      </c>
    </row>
    <row r="1954" spans="7:7" hidden="1" x14ac:dyDescent="0.35">
      <c r="G1954" s="321">
        <v>45669</v>
      </c>
    </row>
    <row r="1955" spans="7:7" hidden="1" x14ac:dyDescent="0.35">
      <c r="G1955" s="321">
        <v>45670</v>
      </c>
    </row>
    <row r="1956" spans="7:7" hidden="1" x14ac:dyDescent="0.35">
      <c r="G1956" s="321">
        <v>45671</v>
      </c>
    </row>
    <row r="1957" spans="7:7" hidden="1" x14ac:dyDescent="0.35">
      <c r="G1957" s="321">
        <v>45672</v>
      </c>
    </row>
    <row r="1958" spans="7:7" hidden="1" x14ac:dyDescent="0.35">
      <c r="G1958" s="321">
        <v>45673</v>
      </c>
    </row>
    <row r="1959" spans="7:7" hidden="1" x14ac:dyDescent="0.35">
      <c r="G1959" s="321">
        <v>45674</v>
      </c>
    </row>
    <row r="1960" spans="7:7" hidden="1" x14ac:dyDescent="0.35">
      <c r="G1960" s="321">
        <v>45675</v>
      </c>
    </row>
    <row r="1961" spans="7:7" hidden="1" x14ac:dyDescent="0.35">
      <c r="G1961" s="321">
        <v>45676</v>
      </c>
    </row>
    <row r="1962" spans="7:7" hidden="1" x14ac:dyDescent="0.35">
      <c r="G1962" s="321">
        <v>45677</v>
      </c>
    </row>
    <row r="1963" spans="7:7" hidden="1" x14ac:dyDescent="0.35">
      <c r="G1963" s="321">
        <v>45678</v>
      </c>
    </row>
    <row r="1964" spans="7:7" hidden="1" x14ac:dyDescent="0.35">
      <c r="G1964" s="321">
        <v>45679</v>
      </c>
    </row>
    <row r="1965" spans="7:7" hidden="1" x14ac:dyDescent="0.35">
      <c r="G1965" s="321">
        <v>45680</v>
      </c>
    </row>
    <row r="1966" spans="7:7" hidden="1" x14ac:dyDescent="0.35">
      <c r="G1966" s="321">
        <v>45681</v>
      </c>
    </row>
    <row r="1967" spans="7:7" hidden="1" x14ac:dyDescent="0.35">
      <c r="G1967" s="321">
        <v>45682</v>
      </c>
    </row>
    <row r="1968" spans="7:7" hidden="1" x14ac:dyDescent="0.35">
      <c r="G1968" s="321">
        <v>45683</v>
      </c>
    </row>
    <row r="1969" spans="7:7" hidden="1" x14ac:dyDescent="0.35">
      <c r="G1969" s="321">
        <v>45684</v>
      </c>
    </row>
    <row r="1970" spans="7:7" hidden="1" x14ac:dyDescent="0.35">
      <c r="G1970" s="321">
        <v>45685</v>
      </c>
    </row>
    <row r="1971" spans="7:7" hidden="1" x14ac:dyDescent="0.35">
      <c r="G1971" s="321">
        <v>45686</v>
      </c>
    </row>
    <row r="1972" spans="7:7" hidden="1" x14ac:dyDescent="0.35">
      <c r="G1972" s="321">
        <v>45687</v>
      </c>
    </row>
    <row r="1973" spans="7:7" hidden="1" x14ac:dyDescent="0.35">
      <c r="G1973" s="321">
        <v>45688</v>
      </c>
    </row>
    <row r="1974" spans="7:7" hidden="1" x14ac:dyDescent="0.35">
      <c r="G1974" s="321">
        <v>45689</v>
      </c>
    </row>
    <row r="1975" spans="7:7" hidden="1" x14ac:dyDescent="0.35">
      <c r="G1975" s="321">
        <v>45690</v>
      </c>
    </row>
    <row r="1976" spans="7:7" hidden="1" x14ac:dyDescent="0.35">
      <c r="G1976" s="321">
        <v>45691</v>
      </c>
    </row>
    <row r="1977" spans="7:7" hidden="1" x14ac:dyDescent="0.35">
      <c r="G1977" s="321">
        <v>45692</v>
      </c>
    </row>
    <row r="1978" spans="7:7" hidden="1" x14ac:dyDescent="0.35">
      <c r="G1978" s="321">
        <v>45693</v>
      </c>
    </row>
    <row r="1979" spans="7:7" hidden="1" x14ac:dyDescent="0.35">
      <c r="G1979" s="321">
        <v>45694</v>
      </c>
    </row>
    <row r="1980" spans="7:7" hidden="1" x14ac:dyDescent="0.35">
      <c r="G1980" s="321">
        <v>45695</v>
      </c>
    </row>
    <row r="1981" spans="7:7" hidden="1" x14ac:dyDescent="0.35">
      <c r="G1981" s="321">
        <v>45696</v>
      </c>
    </row>
    <row r="1982" spans="7:7" hidden="1" x14ac:dyDescent="0.35">
      <c r="G1982" s="321">
        <v>45697</v>
      </c>
    </row>
    <row r="1983" spans="7:7" hidden="1" x14ac:dyDescent="0.35">
      <c r="G1983" s="321">
        <v>45698</v>
      </c>
    </row>
    <row r="1984" spans="7:7" hidden="1" x14ac:dyDescent="0.35">
      <c r="G1984" s="321">
        <v>45699</v>
      </c>
    </row>
    <row r="1985" spans="7:7" hidden="1" x14ac:dyDescent="0.35">
      <c r="G1985" s="321">
        <v>45700</v>
      </c>
    </row>
    <row r="1986" spans="7:7" hidden="1" x14ac:dyDescent="0.35">
      <c r="G1986" s="321">
        <v>45701</v>
      </c>
    </row>
    <row r="1987" spans="7:7" hidden="1" x14ac:dyDescent="0.35">
      <c r="G1987" s="321">
        <v>45702</v>
      </c>
    </row>
    <row r="1988" spans="7:7" hidden="1" x14ac:dyDescent="0.35">
      <c r="G1988" s="321">
        <v>45703</v>
      </c>
    </row>
    <row r="1989" spans="7:7" hidden="1" x14ac:dyDescent="0.35">
      <c r="G1989" s="321">
        <v>45704</v>
      </c>
    </row>
    <row r="1990" spans="7:7" hidden="1" x14ac:dyDescent="0.35">
      <c r="G1990" s="321">
        <v>45705</v>
      </c>
    </row>
    <row r="1991" spans="7:7" hidden="1" x14ac:dyDescent="0.35">
      <c r="G1991" s="321">
        <v>45706</v>
      </c>
    </row>
    <row r="1992" spans="7:7" hidden="1" x14ac:dyDescent="0.35">
      <c r="G1992" s="321">
        <v>45707</v>
      </c>
    </row>
    <row r="1993" spans="7:7" hidden="1" x14ac:dyDescent="0.35">
      <c r="G1993" s="321">
        <v>45708</v>
      </c>
    </row>
    <row r="1994" spans="7:7" hidden="1" x14ac:dyDescent="0.35">
      <c r="G1994" s="321">
        <v>45709</v>
      </c>
    </row>
    <row r="1995" spans="7:7" hidden="1" x14ac:dyDescent="0.35">
      <c r="G1995" s="321">
        <v>45710</v>
      </c>
    </row>
    <row r="1996" spans="7:7" hidden="1" x14ac:dyDescent="0.35">
      <c r="G1996" s="321">
        <v>45711</v>
      </c>
    </row>
    <row r="1997" spans="7:7" hidden="1" x14ac:dyDescent="0.35">
      <c r="G1997" s="321">
        <v>45712</v>
      </c>
    </row>
    <row r="1998" spans="7:7" hidden="1" x14ac:dyDescent="0.35">
      <c r="G1998" s="321">
        <v>45713</v>
      </c>
    </row>
    <row r="1999" spans="7:7" hidden="1" x14ac:dyDescent="0.35">
      <c r="G1999" s="321">
        <v>45714</v>
      </c>
    </row>
    <row r="2000" spans="7:7" hidden="1" x14ac:dyDescent="0.35">
      <c r="G2000" s="321">
        <v>45715</v>
      </c>
    </row>
    <row r="2001" spans="7:7" hidden="1" x14ac:dyDescent="0.35">
      <c r="G2001" s="321">
        <v>45716</v>
      </c>
    </row>
    <row r="2002" spans="7:7" hidden="1" x14ac:dyDescent="0.35">
      <c r="G2002" s="321">
        <v>45717</v>
      </c>
    </row>
    <row r="2003" spans="7:7" hidden="1" x14ac:dyDescent="0.35">
      <c r="G2003" s="321">
        <v>45718</v>
      </c>
    </row>
    <row r="2004" spans="7:7" hidden="1" x14ac:dyDescent="0.35">
      <c r="G2004" s="321">
        <v>45719</v>
      </c>
    </row>
    <row r="2005" spans="7:7" hidden="1" x14ac:dyDescent="0.35">
      <c r="G2005" s="321">
        <v>45720</v>
      </c>
    </row>
    <row r="2006" spans="7:7" hidden="1" x14ac:dyDescent="0.35">
      <c r="G2006" s="321">
        <v>45721</v>
      </c>
    </row>
    <row r="2007" spans="7:7" hidden="1" x14ac:dyDescent="0.35">
      <c r="G2007" s="321">
        <v>45722</v>
      </c>
    </row>
    <row r="2008" spans="7:7" hidden="1" x14ac:dyDescent="0.35">
      <c r="G2008" s="321">
        <v>45723</v>
      </c>
    </row>
    <row r="2009" spans="7:7" hidden="1" x14ac:dyDescent="0.35">
      <c r="G2009" s="321">
        <v>45724</v>
      </c>
    </row>
    <row r="2010" spans="7:7" hidden="1" x14ac:dyDescent="0.35">
      <c r="G2010" s="321">
        <v>45725</v>
      </c>
    </row>
    <row r="2011" spans="7:7" hidden="1" x14ac:dyDescent="0.35">
      <c r="G2011" s="321">
        <v>45726</v>
      </c>
    </row>
    <row r="2012" spans="7:7" hidden="1" x14ac:dyDescent="0.35">
      <c r="G2012" s="321">
        <v>45727</v>
      </c>
    </row>
    <row r="2013" spans="7:7" hidden="1" x14ac:dyDescent="0.35">
      <c r="G2013" s="321">
        <v>45728</v>
      </c>
    </row>
    <row r="2014" spans="7:7" hidden="1" x14ac:dyDescent="0.35">
      <c r="G2014" s="321">
        <v>45729</v>
      </c>
    </row>
    <row r="2015" spans="7:7" hidden="1" x14ac:dyDescent="0.35">
      <c r="G2015" s="321">
        <v>45730</v>
      </c>
    </row>
    <row r="2016" spans="7:7" hidden="1" x14ac:dyDescent="0.35">
      <c r="G2016" s="321">
        <v>45731</v>
      </c>
    </row>
    <row r="2017" spans="7:7" hidden="1" x14ac:dyDescent="0.35">
      <c r="G2017" s="321">
        <v>45732</v>
      </c>
    </row>
    <row r="2018" spans="7:7" hidden="1" x14ac:dyDescent="0.35">
      <c r="G2018" s="321">
        <v>45733</v>
      </c>
    </row>
    <row r="2019" spans="7:7" hidden="1" x14ac:dyDescent="0.35">
      <c r="G2019" s="321">
        <v>45734</v>
      </c>
    </row>
    <row r="2020" spans="7:7" hidden="1" x14ac:dyDescent="0.35">
      <c r="G2020" s="321">
        <v>45735</v>
      </c>
    </row>
    <row r="2021" spans="7:7" hidden="1" x14ac:dyDescent="0.35">
      <c r="G2021" s="321">
        <v>45736</v>
      </c>
    </row>
    <row r="2022" spans="7:7" hidden="1" x14ac:dyDescent="0.35">
      <c r="G2022" s="321">
        <v>45737</v>
      </c>
    </row>
    <row r="2023" spans="7:7" hidden="1" x14ac:dyDescent="0.35">
      <c r="G2023" s="321">
        <v>45738</v>
      </c>
    </row>
    <row r="2024" spans="7:7" hidden="1" x14ac:dyDescent="0.35">
      <c r="G2024" s="321">
        <v>45739</v>
      </c>
    </row>
    <row r="2025" spans="7:7" hidden="1" x14ac:dyDescent="0.35">
      <c r="G2025" s="321">
        <v>45740</v>
      </c>
    </row>
    <row r="2026" spans="7:7" hidden="1" x14ac:dyDescent="0.35">
      <c r="G2026" s="321">
        <v>45741</v>
      </c>
    </row>
    <row r="2027" spans="7:7" hidden="1" x14ac:dyDescent="0.35">
      <c r="G2027" s="321">
        <v>45742</v>
      </c>
    </row>
    <row r="2028" spans="7:7" hidden="1" x14ac:dyDescent="0.35">
      <c r="G2028" s="321">
        <v>45743</v>
      </c>
    </row>
    <row r="2029" spans="7:7" hidden="1" x14ac:dyDescent="0.35">
      <c r="G2029" s="321">
        <v>45744</v>
      </c>
    </row>
    <row r="2030" spans="7:7" hidden="1" x14ac:dyDescent="0.35">
      <c r="G2030" s="321">
        <v>45745</v>
      </c>
    </row>
    <row r="2031" spans="7:7" hidden="1" x14ac:dyDescent="0.35">
      <c r="G2031" s="321">
        <v>45746</v>
      </c>
    </row>
    <row r="2032" spans="7:7" hidden="1" x14ac:dyDescent="0.35">
      <c r="G2032" s="321">
        <v>45747</v>
      </c>
    </row>
    <row r="2033" spans="7:7" hidden="1" x14ac:dyDescent="0.35">
      <c r="G2033" s="321">
        <v>45748</v>
      </c>
    </row>
    <row r="2034" spans="7:7" hidden="1" x14ac:dyDescent="0.35">
      <c r="G2034" s="321">
        <v>45749</v>
      </c>
    </row>
    <row r="2035" spans="7:7" hidden="1" x14ac:dyDescent="0.35">
      <c r="G2035" s="321">
        <v>45750</v>
      </c>
    </row>
    <row r="2036" spans="7:7" hidden="1" x14ac:dyDescent="0.35">
      <c r="G2036" s="321">
        <v>45751</v>
      </c>
    </row>
    <row r="2037" spans="7:7" hidden="1" x14ac:dyDescent="0.35">
      <c r="G2037" s="321">
        <v>45752</v>
      </c>
    </row>
    <row r="2038" spans="7:7" hidden="1" x14ac:dyDescent="0.35">
      <c r="G2038" s="321">
        <v>45753</v>
      </c>
    </row>
    <row r="2039" spans="7:7" hidden="1" x14ac:dyDescent="0.35">
      <c r="G2039" s="321">
        <v>45754</v>
      </c>
    </row>
    <row r="2040" spans="7:7" hidden="1" x14ac:dyDescent="0.35">
      <c r="G2040" s="321">
        <v>45755</v>
      </c>
    </row>
    <row r="2041" spans="7:7" hidden="1" x14ac:dyDescent="0.35">
      <c r="G2041" s="321">
        <v>45756</v>
      </c>
    </row>
    <row r="2042" spans="7:7" hidden="1" x14ac:dyDescent="0.35">
      <c r="G2042" s="321">
        <v>45757</v>
      </c>
    </row>
    <row r="2043" spans="7:7" hidden="1" x14ac:dyDescent="0.35">
      <c r="G2043" s="321">
        <v>45758</v>
      </c>
    </row>
    <row r="2044" spans="7:7" hidden="1" x14ac:dyDescent="0.35">
      <c r="G2044" s="321">
        <v>45759</v>
      </c>
    </row>
    <row r="2045" spans="7:7" hidden="1" x14ac:dyDescent="0.35">
      <c r="G2045" s="321">
        <v>45760</v>
      </c>
    </row>
    <row r="2046" spans="7:7" hidden="1" x14ac:dyDescent="0.35">
      <c r="G2046" s="321">
        <v>45761</v>
      </c>
    </row>
    <row r="2047" spans="7:7" hidden="1" x14ac:dyDescent="0.35">
      <c r="G2047" s="321">
        <v>45762</v>
      </c>
    </row>
    <row r="2048" spans="7:7" hidden="1" x14ac:dyDescent="0.35">
      <c r="G2048" s="321">
        <v>45763</v>
      </c>
    </row>
    <row r="2049" spans="7:7" hidden="1" x14ac:dyDescent="0.35">
      <c r="G2049" s="321">
        <v>45764</v>
      </c>
    </row>
    <row r="2050" spans="7:7" hidden="1" x14ac:dyDescent="0.35">
      <c r="G2050" s="321">
        <v>45765</v>
      </c>
    </row>
    <row r="2051" spans="7:7" hidden="1" x14ac:dyDescent="0.35">
      <c r="G2051" s="321">
        <v>45766</v>
      </c>
    </row>
    <row r="2052" spans="7:7" hidden="1" x14ac:dyDescent="0.35">
      <c r="G2052" s="321">
        <v>45767</v>
      </c>
    </row>
    <row r="2053" spans="7:7" hidden="1" x14ac:dyDescent="0.35">
      <c r="G2053" s="321">
        <v>45768</v>
      </c>
    </row>
    <row r="2054" spans="7:7" hidden="1" x14ac:dyDescent="0.35">
      <c r="G2054" s="321">
        <v>45769</v>
      </c>
    </row>
    <row r="2055" spans="7:7" hidden="1" x14ac:dyDescent="0.35">
      <c r="G2055" s="321">
        <v>45770</v>
      </c>
    </row>
    <row r="2056" spans="7:7" hidden="1" x14ac:dyDescent="0.35">
      <c r="G2056" s="321">
        <v>45771</v>
      </c>
    </row>
    <row r="2057" spans="7:7" hidden="1" x14ac:dyDescent="0.35">
      <c r="G2057" s="321">
        <v>45772</v>
      </c>
    </row>
    <row r="2058" spans="7:7" hidden="1" x14ac:dyDescent="0.35">
      <c r="G2058" s="321">
        <v>45773</v>
      </c>
    </row>
    <row r="2059" spans="7:7" hidden="1" x14ac:dyDescent="0.35">
      <c r="G2059" s="321">
        <v>45774</v>
      </c>
    </row>
    <row r="2060" spans="7:7" hidden="1" x14ac:dyDescent="0.35">
      <c r="G2060" s="321">
        <v>45775</v>
      </c>
    </row>
    <row r="2061" spans="7:7" hidden="1" x14ac:dyDescent="0.35">
      <c r="G2061" s="321">
        <v>45776</v>
      </c>
    </row>
    <row r="2062" spans="7:7" hidden="1" x14ac:dyDescent="0.35">
      <c r="G2062" s="321">
        <v>45777</v>
      </c>
    </row>
    <row r="2063" spans="7:7" hidden="1" x14ac:dyDescent="0.35">
      <c r="G2063" s="321">
        <v>45778</v>
      </c>
    </row>
    <row r="2064" spans="7:7" hidden="1" x14ac:dyDescent="0.35">
      <c r="G2064" s="321">
        <v>45779</v>
      </c>
    </row>
    <row r="2065" spans="7:7" hidden="1" x14ac:dyDescent="0.35">
      <c r="G2065" s="321">
        <v>45780</v>
      </c>
    </row>
    <row r="2066" spans="7:7" hidden="1" x14ac:dyDescent="0.35">
      <c r="G2066" s="321">
        <v>45781</v>
      </c>
    </row>
    <row r="2067" spans="7:7" hidden="1" x14ac:dyDescent="0.35">
      <c r="G2067" s="321">
        <v>45782</v>
      </c>
    </row>
    <row r="2068" spans="7:7" hidden="1" x14ac:dyDescent="0.35">
      <c r="G2068" s="321">
        <v>45783</v>
      </c>
    </row>
    <row r="2069" spans="7:7" hidden="1" x14ac:dyDescent="0.35">
      <c r="G2069" s="321">
        <v>45784</v>
      </c>
    </row>
    <row r="2070" spans="7:7" hidden="1" x14ac:dyDescent="0.35">
      <c r="G2070" s="321">
        <v>45785</v>
      </c>
    </row>
    <row r="2071" spans="7:7" hidden="1" x14ac:dyDescent="0.35">
      <c r="G2071" s="321">
        <v>45786</v>
      </c>
    </row>
    <row r="2072" spans="7:7" hidden="1" x14ac:dyDescent="0.35">
      <c r="G2072" s="321">
        <v>45787</v>
      </c>
    </row>
    <row r="2073" spans="7:7" hidden="1" x14ac:dyDescent="0.35">
      <c r="G2073" s="321">
        <v>45788</v>
      </c>
    </row>
    <row r="2074" spans="7:7" hidden="1" x14ac:dyDescent="0.35">
      <c r="G2074" s="321">
        <v>45789</v>
      </c>
    </row>
    <row r="2075" spans="7:7" hidden="1" x14ac:dyDescent="0.35">
      <c r="G2075" s="321">
        <v>45790</v>
      </c>
    </row>
    <row r="2076" spans="7:7" hidden="1" x14ac:dyDescent="0.35">
      <c r="G2076" s="321">
        <v>45791</v>
      </c>
    </row>
    <row r="2077" spans="7:7" hidden="1" x14ac:dyDescent="0.35">
      <c r="G2077" s="321">
        <v>45792</v>
      </c>
    </row>
    <row r="2078" spans="7:7" hidden="1" x14ac:dyDescent="0.35">
      <c r="G2078" s="321">
        <v>45793</v>
      </c>
    </row>
    <row r="2079" spans="7:7" hidden="1" x14ac:dyDescent="0.35">
      <c r="G2079" s="321">
        <v>45794</v>
      </c>
    </row>
    <row r="2080" spans="7:7" hidden="1" x14ac:dyDescent="0.35">
      <c r="G2080" s="321">
        <v>45795</v>
      </c>
    </row>
    <row r="2081" spans="7:7" hidden="1" x14ac:dyDescent="0.35">
      <c r="G2081" s="321">
        <v>45796</v>
      </c>
    </row>
    <row r="2082" spans="7:7" hidden="1" x14ac:dyDescent="0.35">
      <c r="G2082" s="321">
        <v>45797</v>
      </c>
    </row>
    <row r="2083" spans="7:7" hidden="1" x14ac:dyDescent="0.35">
      <c r="G2083" s="321">
        <v>45798</v>
      </c>
    </row>
    <row r="2084" spans="7:7" hidden="1" x14ac:dyDescent="0.35">
      <c r="G2084" s="321">
        <v>45799</v>
      </c>
    </row>
    <row r="2085" spans="7:7" hidden="1" x14ac:dyDescent="0.35">
      <c r="G2085" s="321">
        <v>45800</v>
      </c>
    </row>
    <row r="2086" spans="7:7" hidden="1" x14ac:dyDescent="0.35">
      <c r="G2086" s="321">
        <v>45801</v>
      </c>
    </row>
    <row r="2087" spans="7:7" hidden="1" x14ac:dyDescent="0.35">
      <c r="G2087" s="321">
        <v>45802</v>
      </c>
    </row>
    <row r="2088" spans="7:7" hidden="1" x14ac:dyDescent="0.35">
      <c r="G2088" s="321">
        <v>45803</v>
      </c>
    </row>
    <row r="2089" spans="7:7" hidden="1" x14ac:dyDescent="0.35">
      <c r="G2089" s="321">
        <v>45804</v>
      </c>
    </row>
    <row r="2090" spans="7:7" hidden="1" x14ac:dyDescent="0.35">
      <c r="G2090" s="321">
        <v>45805</v>
      </c>
    </row>
    <row r="2091" spans="7:7" hidden="1" x14ac:dyDescent="0.35">
      <c r="G2091" s="321">
        <v>45806</v>
      </c>
    </row>
    <row r="2092" spans="7:7" hidden="1" x14ac:dyDescent="0.35">
      <c r="G2092" s="321">
        <v>45807</v>
      </c>
    </row>
    <row r="2093" spans="7:7" hidden="1" x14ac:dyDescent="0.35">
      <c r="G2093" s="321">
        <v>45808</v>
      </c>
    </row>
    <row r="2094" spans="7:7" hidden="1" x14ac:dyDescent="0.35">
      <c r="G2094" s="321">
        <v>45809</v>
      </c>
    </row>
    <row r="2095" spans="7:7" hidden="1" x14ac:dyDescent="0.35">
      <c r="G2095" s="321">
        <v>45810</v>
      </c>
    </row>
    <row r="2096" spans="7:7" hidden="1" x14ac:dyDescent="0.35">
      <c r="G2096" s="321">
        <v>45811</v>
      </c>
    </row>
    <row r="2097" spans="7:7" hidden="1" x14ac:dyDescent="0.35">
      <c r="G2097" s="321">
        <v>45812</v>
      </c>
    </row>
    <row r="2098" spans="7:7" hidden="1" x14ac:dyDescent="0.35">
      <c r="G2098" s="321">
        <v>45813</v>
      </c>
    </row>
    <row r="2099" spans="7:7" hidden="1" x14ac:dyDescent="0.35">
      <c r="G2099" s="321">
        <v>45814</v>
      </c>
    </row>
    <row r="2100" spans="7:7" hidden="1" x14ac:dyDescent="0.35">
      <c r="G2100" s="321">
        <v>45815</v>
      </c>
    </row>
    <row r="2101" spans="7:7" hidden="1" x14ac:dyDescent="0.35">
      <c r="G2101" s="321">
        <v>45816</v>
      </c>
    </row>
    <row r="2102" spans="7:7" hidden="1" x14ac:dyDescent="0.35">
      <c r="G2102" s="321">
        <v>45817</v>
      </c>
    </row>
    <row r="2103" spans="7:7" hidden="1" x14ac:dyDescent="0.35">
      <c r="G2103" s="321">
        <v>45818</v>
      </c>
    </row>
    <row r="2104" spans="7:7" hidden="1" x14ac:dyDescent="0.35">
      <c r="G2104" s="321">
        <v>45819</v>
      </c>
    </row>
    <row r="2105" spans="7:7" hidden="1" x14ac:dyDescent="0.35">
      <c r="G2105" s="321">
        <v>45820</v>
      </c>
    </row>
    <row r="2106" spans="7:7" hidden="1" x14ac:dyDescent="0.35">
      <c r="G2106" s="321">
        <v>45821</v>
      </c>
    </row>
    <row r="2107" spans="7:7" hidden="1" x14ac:dyDescent="0.35">
      <c r="G2107" s="321">
        <v>45822</v>
      </c>
    </row>
    <row r="2108" spans="7:7" hidden="1" x14ac:dyDescent="0.35">
      <c r="G2108" s="321">
        <v>45823</v>
      </c>
    </row>
    <row r="2109" spans="7:7" hidden="1" x14ac:dyDescent="0.35">
      <c r="G2109" s="321">
        <v>45824</v>
      </c>
    </row>
    <row r="2110" spans="7:7" hidden="1" x14ac:dyDescent="0.35">
      <c r="G2110" s="321">
        <v>45825</v>
      </c>
    </row>
    <row r="2111" spans="7:7" hidden="1" x14ac:dyDescent="0.35">
      <c r="G2111" s="321">
        <v>45826</v>
      </c>
    </row>
    <row r="2112" spans="7:7" hidden="1" x14ac:dyDescent="0.35">
      <c r="G2112" s="321">
        <v>45827</v>
      </c>
    </row>
    <row r="2113" spans="7:7" hidden="1" x14ac:dyDescent="0.35">
      <c r="G2113" s="321">
        <v>45828</v>
      </c>
    </row>
    <row r="2114" spans="7:7" hidden="1" x14ac:dyDescent="0.35">
      <c r="G2114" s="321">
        <v>45829</v>
      </c>
    </row>
    <row r="2115" spans="7:7" hidden="1" x14ac:dyDescent="0.35">
      <c r="G2115" s="321">
        <v>45830</v>
      </c>
    </row>
    <row r="2116" spans="7:7" hidden="1" x14ac:dyDescent="0.35">
      <c r="G2116" s="321">
        <v>45831</v>
      </c>
    </row>
    <row r="2117" spans="7:7" hidden="1" x14ac:dyDescent="0.35">
      <c r="G2117" s="321">
        <v>45832</v>
      </c>
    </row>
    <row r="2118" spans="7:7" hidden="1" x14ac:dyDescent="0.35">
      <c r="G2118" s="321">
        <v>45833</v>
      </c>
    </row>
    <row r="2119" spans="7:7" hidden="1" x14ac:dyDescent="0.35">
      <c r="G2119" s="321">
        <v>45834</v>
      </c>
    </row>
    <row r="2120" spans="7:7" hidden="1" x14ac:dyDescent="0.35">
      <c r="G2120" s="321">
        <v>45835</v>
      </c>
    </row>
    <row r="2121" spans="7:7" hidden="1" x14ac:dyDescent="0.35">
      <c r="G2121" s="321">
        <v>45836</v>
      </c>
    </row>
    <row r="2122" spans="7:7" hidden="1" x14ac:dyDescent="0.35">
      <c r="G2122" s="321">
        <v>45837</v>
      </c>
    </row>
    <row r="2123" spans="7:7" hidden="1" x14ac:dyDescent="0.35">
      <c r="G2123" s="321">
        <v>45838</v>
      </c>
    </row>
    <row r="2124" spans="7:7" hidden="1" x14ac:dyDescent="0.35">
      <c r="G2124" s="321">
        <v>45839</v>
      </c>
    </row>
    <row r="2125" spans="7:7" hidden="1" x14ac:dyDescent="0.35">
      <c r="G2125" s="321">
        <v>45840</v>
      </c>
    </row>
    <row r="2126" spans="7:7" hidden="1" x14ac:dyDescent="0.35">
      <c r="G2126" s="321">
        <v>45841</v>
      </c>
    </row>
    <row r="2127" spans="7:7" hidden="1" x14ac:dyDescent="0.35">
      <c r="G2127" s="321">
        <v>45842</v>
      </c>
    </row>
    <row r="2128" spans="7:7" hidden="1" x14ac:dyDescent="0.35">
      <c r="G2128" s="321">
        <v>45843</v>
      </c>
    </row>
    <row r="2129" spans="7:7" hidden="1" x14ac:dyDescent="0.35">
      <c r="G2129" s="321">
        <v>45844</v>
      </c>
    </row>
    <row r="2130" spans="7:7" hidden="1" x14ac:dyDescent="0.35">
      <c r="G2130" s="321">
        <v>45845</v>
      </c>
    </row>
    <row r="2131" spans="7:7" hidden="1" x14ac:dyDescent="0.35">
      <c r="G2131" s="321">
        <v>45846</v>
      </c>
    </row>
    <row r="2132" spans="7:7" hidden="1" x14ac:dyDescent="0.35">
      <c r="G2132" s="321">
        <v>45847</v>
      </c>
    </row>
    <row r="2133" spans="7:7" hidden="1" x14ac:dyDescent="0.35">
      <c r="G2133" s="321">
        <v>45848</v>
      </c>
    </row>
    <row r="2134" spans="7:7" hidden="1" x14ac:dyDescent="0.35">
      <c r="G2134" s="321">
        <v>45849</v>
      </c>
    </row>
    <row r="2135" spans="7:7" hidden="1" x14ac:dyDescent="0.35">
      <c r="G2135" s="321">
        <v>45850</v>
      </c>
    </row>
    <row r="2136" spans="7:7" hidden="1" x14ac:dyDescent="0.35">
      <c r="G2136" s="321">
        <v>45851</v>
      </c>
    </row>
    <row r="2137" spans="7:7" hidden="1" x14ac:dyDescent="0.35">
      <c r="G2137" s="321">
        <v>45852</v>
      </c>
    </row>
    <row r="2138" spans="7:7" hidden="1" x14ac:dyDescent="0.35">
      <c r="G2138" s="321">
        <v>45853</v>
      </c>
    </row>
    <row r="2139" spans="7:7" hidden="1" x14ac:dyDescent="0.35">
      <c r="G2139" s="321">
        <v>45854</v>
      </c>
    </row>
    <row r="2140" spans="7:7" hidden="1" x14ac:dyDescent="0.35">
      <c r="G2140" s="321">
        <v>45855</v>
      </c>
    </row>
    <row r="2141" spans="7:7" hidden="1" x14ac:dyDescent="0.35">
      <c r="G2141" s="321">
        <v>45856</v>
      </c>
    </row>
    <row r="2142" spans="7:7" hidden="1" x14ac:dyDescent="0.35">
      <c r="G2142" s="321">
        <v>45857</v>
      </c>
    </row>
    <row r="2143" spans="7:7" hidden="1" x14ac:dyDescent="0.35">
      <c r="G2143" s="321">
        <v>45858</v>
      </c>
    </row>
    <row r="2144" spans="7:7" hidden="1" x14ac:dyDescent="0.35">
      <c r="G2144" s="321">
        <v>45859</v>
      </c>
    </row>
    <row r="2145" spans="7:7" hidden="1" x14ac:dyDescent="0.35">
      <c r="G2145" s="321">
        <v>45860</v>
      </c>
    </row>
    <row r="2146" spans="7:7" hidden="1" x14ac:dyDescent="0.35">
      <c r="G2146" s="321">
        <v>45861</v>
      </c>
    </row>
    <row r="2147" spans="7:7" hidden="1" x14ac:dyDescent="0.35">
      <c r="G2147" s="321">
        <v>45862</v>
      </c>
    </row>
    <row r="2148" spans="7:7" hidden="1" x14ac:dyDescent="0.35">
      <c r="G2148" s="321">
        <v>45863</v>
      </c>
    </row>
    <row r="2149" spans="7:7" hidden="1" x14ac:dyDescent="0.35">
      <c r="G2149" s="321">
        <v>45864</v>
      </c>
    </row>
    <row r="2150" spans="7:7" hidden="1" x14ac:dyDescent="0.35">
      <c r="G2150" s="321">
        <v>45865</v>
      </c>
    </row>
    <row r="2151" spans="7:7" hidden="1" x14ac:dyDescent="0.35">
      <c r="G2151" s="321">
        <v>45866</v>
      </c>
    </row>
    <row r="2152" spans="7:7" hidden="1" x14ac:dyDescent="0.35">
      <c r="G2152" s="321">
        <v>45867</v>
      </c>
    </row>
    <row r="2153" spans="7:7" hidden="1" x14ac:dyDescent="0.35">
      <c r="G2153" s="321">
        <v>45868</v>
      </c>
    </row>
    <row r="2154" spans="7:7" hidden="1" x14ac:dyDescent="0.35">
      <c r="G2154" s="321">
        <v>45869</v>
      </c>
    </row>
    <row r="2155" spans="7:7" hidden="1" x14ac:dyDescent="0.35">
      <c r="G2155" s="321">
        <v>45870</v>
      </c>
    </row>
    <row r="2156" spans="7:7" hidden="1" x14ac:dyDescent="0.35">
      <c r="G2156" s="321">
        <v>45871</v>
      </c>
    </row>
    <row r="2157" spans="7:7" hidden="1" x14ac:dyDescent="0.35">
      <c r="G2157" s="321">
        <v>45872</v>
      </c>
    </row>
    <row r="2158" spans="7:7" hidden="1" x14ac:dyDescent="0.35">
      <c r="G2158" s="321">
        <v>45873</v>
      </c>
    </row>
    <row r="2159" spans="7:7" hidden="1" x14ac:dyDescent="0.35">
      <c r="G2159" s="321">
        <v>45874</v>
      </c>
    </row>
    <row r="2160" spans="7:7" hidden="1" x14ac:dyDescent="0.35">
      <c r="G2160" s="321">
        <v>45875</v>
      </c>
    </row>
    <row r="2161" spans="7:7" hidden="1" x14ac:dyDescent="0.35">
      <c r="G2161" s="321">
        <v>45876</v>
      </c>
    </row>
    <row r="2162" spans="7:7" hidden="1" x14ac:dyDescent="0.35">
      <c r="G2162" s="321">
        <v>45877</v>
      </c>
    </row>
    <row r="2163" spans="7:7" hidden="1" x14ac:dyDescent="0.35">
      <c r="G2163" s="321">
        <v>45878</v>
      </c>
    </row>
    <row r="2164" spans="7:7" hidden="1" x14ac:dyDescent="0.35">
      <c r="G2164" s="321">
        <v>45879</v>
      </c>
    </row>
    <row r="2165" spans="7:7" hidden="1" x14ac:dyDescent="0.35">
      <c r="G2165" s="321">
        <v>45880</v>
      </c>
    </row>
    <row r="2166" spans="7:7" hidden="1" x14ac:dyDescent="0.35">
      <c r="G2166" s="321">
        <v>45881</v>
      </c>
    </row>
    <row r="2167" spans="7:7" hidden="1" x14ac:dyDescent="0.35">
      <c r="G2167" s="321">
        <v>45882</v>
      </c>
    </row>
    <row r="2168" spans="7:7" hidden="1" x14ac:dyDescent="0.35">
      <c r="G2168" s="321">
        <v>45883</v>
      </c>
    </row>
    <row r="2169" spans="7:7" hidden="1" x14ac:dyDescent="0.35">
      <c r="G2169" s="321">
        <v>45884</v>
      </c>
    </row>
    <row r="2170" spans="7:7" hidden="1" x14ac:dyDescent="0.35">
      <c r="G2170" s="321">
        <v>45885</v>
      </c>
    </row>
    <row r="2171" spans="7:7" hidden="1" x14ac:dyDescent="0.35">
      <c r="G2171" s="321">
        <v>45886</v>
      </c>
    </row>
    <row r="2172" spans="7:7" hidden="1" x14ac:dyDescent="0.35">
      <c r="G2172" s="321">
        <v>45887</v>
      </c>
    </row>
    <row r="2173" spans="7:7" hidden="1" x14ac:dyDescent="0.35">
      <c r="G2173" s="321">
        <v>45888</v>
      </c>
    </row>
    <row r="2174" spans="7:7" hidden="1" x14ac:dyDescent="0.35">
      <c r="G2174" s="321">
        <v>45889</v>
      </c>
    </row>
    <row r="2175" spans="7:7" hidden="1" x14ac:dyDescent="0.35">
      <c r="G2175" s="321">
        <v>45890</v>
      </c>
    </row>
    <row r="2176" spans="7:7" hidden="1" x14ac:dyDescent="0.35">
      <c r="G2176" s="321">
        <v>45891</v>
      </c>
    </row>
    <row r="2177" spans="7:7" hidden="1" x14ac:dyDescent="0.35">
      <c r="G2177" s="321">
        <v>45892</v>
      </c>
    </row>
    <row r="2178" spans="7:7" hidden="1" x14ac:dyDescent="0.35">
      <c r="G2178" s="321">
        <v>45893</v>
      </c>
    </row>
    <row r="2179" spans="7:7" hidden="1" x14ac:dyDescent="0.35">
      <c r="G2179" s="321">
        <v>45894</v>
      </c>
    </row>
    <row r="2180" spans="7:7" hidden="1" x14ac:dyDescent="0.35">
      <c r="G2180" s="321">
        <v>45895</v>
      </c>
    </row>
    <row r="2181" spans="7:7" hidden="1" x14ac:dyDescent="0.35">
      <c r="G2181" s="321">
        <v>45896</v>
      </c>
    </row>
    <row r="2182" spans="7:7" hidden="1" x14ac:dyDescent="0.35">
      <c r="G2182" s="321">
        <v>45897</v>
      </c>
    </row>
    <row r="2183" spans="7:7" hidden="1" x14ac:dyDescent="0.35">
      <c r="G2183" s="321">
        <v>45898</v>
      </c>
    </row>
    <row r="2184" spans="7:7" hidden="1" x14ac:dyDescent="0.35">
      <c r="G2184" s="321">
        <v>45899</v>
      </c>
    </row>
    <row r="2185" spans="7:7" hidden="1" x14ac:dyDescent="0.35">
      <c r="G2185" s="321">
        <v>45900</v>
      </c>
    </row>
    <row r="2186" spans="7:7" hidden="1" x14ac:dyDescent="0.35">
      <c r="G2186" s="321">
        <v>45901</v>
      </c>
    </row>
    <row r="2187" spans="7:7" hidden="1" x14ac:dyDescent="0.35">
      <c r="G2187" s="321">
        <v>45902</v>
      </c>
    </row>
    <row r="2188" spans="7:7" hidden="1" x14ac:dyDescent="0.35">
      <c r="G2188" s="321">
        <v>45903</v>
      </c>
    </row>
    <row r="2189" spans="7:7" hidden="1" x14ac:dyDescent="0.35">
      <c r="G2189" s="321">
        <v>45904</v>
      </c>
    </row>
    <row r="2190" spans="7:7" hidden="1" x14ac:dyDescent="0.35">
      <c r="G2190" s="321">
        <v>45905</v>
      </c>
    </row>
    <row r="2191" spans="7:7" hidden="1" x14ac:dyDescent="0.35">
      <c r="G2191" s="321">
        <v>45906</v>
      </c>
    </row>
    <row r="2192" spans="7:7" hidden="1" x14ac:dyDescent="0.35">
      <c r="G2192" s="321">
        <v>45907</v>
      </c>
    </row>
    <row r="2193" spans="7:7" hidden="1" x14ac:dyDescent="0.35">
      <c r="G2193" s="321">
        <v>45908</v>
      </c>
    </row>
    <row r="2194" spans="7:7" hidden="1" x14ac:dyDescent="0.35">
      <c r="G2194" s="321">
        <v>45909</v>
      </c>
    </row>
    <row r="2195" spans="7:7" hidden="1" x14ac:dyDescent="0.35">
      <c r="G2195" s="321">
        <v>45910</v>
      </c>
    </row>
    <row r="2196" spans="7:7" hidden="1" x14ac:dyDescent="0.35">
      <c r="G2196" s="321">
        <v>45911</v>
      </c>
    </row>
    <row r="2197" spans="7:7" hidden="1" x14ac:dyDescent="0.35">
      <c r="G2197" s="321">
        <v>45912</v>
      </c>
    </row>
    <row r="2198" spans="7:7" hidden="1" x14ac:dyDescent="0.35">
      <c r="G2198" s="321">
        <v>45913</v>
      </c>
    </row>
    <row r="2199" spans="7:7" hidden="1" x14ac:dyDescent="0.35">
      <c r="G2199" s="321">
        <v>45914</v>
      </c>
    </row>
    <row r="2200" spans="7:7" hidden="1" x14ac:dyDescent="0.35">
      <c r="G2200" s="321">
        <v>45915</v>
      </c>
    </row>
    <row r="2201" spans="7:7" hidden="1" x14ac:dyDescent="0.35">
      <c r="G2201" s="321">
        <v>45916</v>
      </c>
    </row>
    <row r="2202" spans="7:7" hidden="1" x14ac:dyDescent="0.35">
      <c r="G2202" s="321">
        <v>45917</v>
      </c>
    </row>
    <row r="2203" spans="7:7" hidden="1" x14ac:dyDescent="0.35">
      <c r="G2203" s="321">
        <v>45918</v>
      </c>
    </row>
    <row r="2204" spans="7:7" hidden="1" x14ac:dyDescent="0.35">
      <c r="G2204" s="321">
        <v>45919</v>
      </c>
    </row>
    <row r="2205" spans="7:7" hidden="1" x14ac:dyDescent="0.35">
      <c r="G2205" s="321">
        <v>45920</v>
      </c>
    </row>
    <row r="2206" spans="7:7" hidden="1" x14ac:dyDescent="0.35">
      <c r="G2206" s="321">
        <v>45921</v>
      </c>
    </row>
    <row r="2207" spans="7:7" hidden="1" x14ac:dyDescent="0.35">
      <c r="G2207" s="321">
        <v>45922</v>
      </c>
    </row>
    <row r="2208" spans="7:7" hidden="1" x14ac:dyDescent="0.35">
      <c r="G2208" s="321">
        <v>45923</v>
      </c>
    </row>
    <row r="2209" spans="7:7" hidden="1" x14ac:dyDescent="0.35">
      <c r="G2209" s="321">
        <v>45924</v>
      </c>
    </row>
    <row r="2210" spans="7:7" hidden="1" x14ac:dyDescent="0.35">
      <c r="G2210" s="321">
        <v>45925</v>
      </c>
    </row>
    <row r="2211" spans="7:7" hidden="1" x14ac:dyDescent="0.35">
      <c r="G2211" s="321">
        <v>45926</v>
      </c>
    </row>
    <row r="2212" spans="7:7" hidden="1" x14ac:dyDescent="0.35">
      <c r="G2212" s="321">
        <v>45927</v>
      </c>
    </row>
    <row r="2213" spans="7:7" hidden="1" x14ac:dyDescent="0.35">
      <c r="G2213" s="321">
        <v>45928</v>
      </c>
    </row>
    <row r="2214" spans="7:7" hidden="1" x14ac:dyDescent="0.35">
      <c r="G2214" s="321">
        <v>45929</v>
      </c>
    </row>
    <row r="2215" spans="7:7" hidden="1" x14ac:dyDescent="0.35">
      <c r="G2215" s="321">
        <v>45930</v>
      </c>
    </row>
    <row r="2216" spans="7:7" hidden="1" x14ac:dyDescent="0.35">
      <c r="G2216" s="321">
        <v>45931</v>
      </c>
    </row>
    <row r="2217" spans="7:7" hidden="1" x14ac:dyDescent="0.35">
      <c r="G2217" s="321">
        <v>45932</v>
      </c>
    </row>
    <row r="2218" spans="7:7" hidden="1" x14ac:dyDescent="0.35">
      <c r="G2218" s="321">
        <v>45933</v>
      </c>
    </row>
    <row r="2219" spans="7:7" hidden="1" x14ac:dyDescent="0.35">
      <c r="G2219" s="321">
        <v>45934</v>
      </c>
    </row>
    <row r="2220" spans="7:7" hidden="1" x14ac:dyDescent="0.35">
      <c r="G2220" s="321">
        <v>45935</v>
      </c>
    </row>
    <row r="2221" spans="7:7" hidden="1" x14ac:dyDescent="0.35">
      <c r="G2221" s="321">
        <v>45936</v>
      </c>
    </row>
    <row r="2222" spans="7:7" hidden="1" x14ac:dyDescent="0.35">
      <c r="G2222" s="321">
        <v>45937</v>
      </c>
    </row>
    <row r="2223" spans="7:7" hidden="1" x14ac:dyDescent="0.35">
      <c r="G2223" s="321">
        <v>45938</v>
      </c>
    </row>
    <row r="2224" spans="7:7" hidden="1" x14ac:dyDescent="0.35">
      <c r="G2224" s="321">
        <v>45939</v>
      </c>
    </row>
    <row r="2225" spans="7:7" hidden="1" x14ac:dyDescent="0.35">
      <c r="G2225" s="321">
        <v>45940</v>
      </c>
    </row>
    <row r="2226" spans="7:7" hidden="1" x14ac:dyDescent="0.35">
      <c r="G2226" s="321">
        <v>45941</v>
      </c>
    </row>
    <row r="2227" spans="7:7" hidden="1" x14ac:dyDescent="0.35">
      <c r="G2227" s="321">
        <v>45942</v>
      </c>
    </row>
    <row r="2228" spans="7:7" hidden="1" x14ac:dyDescent="0.35">
      <c r="G2228" s="321">
        <v>45943</v>
      </c>
    </row>
    <row r="2229" spans="7:7" hidden="1" x14ac:dyDescent="0.35">
      <c r="G2229" s="321">
        <v>45944</v>
      </c>
    </row>
    <row r="2230" spans="7:7" hidden="1" x14ac:dyDescent="0.35">
      <c r="G2230" s="321">
        <v>45945</v>
      </c>
    </row>
    <row r="2231" spans="7:7" hidden="1" x14ac:dyDescent="0.35">
      <c r="G2231" s="321">
        <v>45946</v>
      </c>
    </row>
    <row r="2232" spans="7:7" hidden="1" x14ac:dyDescent="0.35">
      <c r="G2232" s="321">
        <v>45947</v>
      </c>
    </row>
    <row r="2233" spans="7:7" hidden="1" x14ac:dyDescent="0.35">
      <c r="G2233" s="321">
        <v>45948</v>
      </c>
    </row>
    <row r="2234" spans="7:7" hidden="1" x14ac:dyDescent="0.35">
      <c r="G2234" s="321">
        <v>45949</v>
      </c>
    </row>
    <row r="2235" spans="7:7" hidden="1" x14ac:dyDescent="0.35">
      <c r="G2235" s="321">
        <v>45950</v>
      </c>
    </row>
    <row r="2236" spans="7:7" hidden="1" x14ac:dyDescent="0.35">
      <c r="G2236" s="321">
        <v>45951</v>
      </c>
    </row>
    <row r="2237" spans="7:7" hidden="1" x14ac:dyDescent="0.35">
      <c r="G2237" s="321">
        <v>45952</v>
      </c>
    </row>
    <row r="2238" spans="7:7" hidden="1" x14ac:dyDescent="0.35">
      <c r="G2238" s="321">
        <v>45953</v>
      </c>
    </row>
    <row r="2239" spans="7:7" hidden="1" x14ac:dyDescent="0.35">
      <c r="G2239" s="321">
        <v>45954</v>
      </c>
    </row>
    <row r="2240" spans="7:7" hidden="1" x14ac:dyDescent="0.35">
      <c r="G2240" s="321">
        <v>45955</v>
      </c>
    </row>
    <row r="2241" spans="7:7" hidden="1" x14ac:dyDescent="0.35">
      <c r="G2241" s="321">
        <v>45956</v>
      </c>
    </row>
    <row r="2242" spans="7:7" hidden="1" x14ac:dyDescent="0.35">
      <c r="G2242" s="321">
        <v>45957</v>
      </c>
    </row>
    <row r="2243" spans="7:7" hidden="1" x14ac:dyDescent="0.35">
      <c r="G2243" s="321">
        <v>45958</v>
      </c>
    </row>
    <row r="2244" spans="7:7" hidden="1" x14ac:dyDescent="0.35">
      <c r="G2244" s="321">
        <v>45959</v>
      </c>
    </row>
    <row r="2245" spans="7:7" hidden="1" x14ac:dyDescent="0.35">
      <c r="G2245" s="321">
        <v>45960</v>
      </c>
    </row>
    <row r="2246" spans="7:7" hidden="1" x14ac:dyDescent="0.35">
      <c r="G2246" s="321">
        <v>45961</v>
      </c>
    </row>
    <row r="2247" spans="7:7" hidden="1" x14ac:dyDescent="0.35">
      <c r="G2247" s="321">
        <v>45962</v>
      </c>
    </row>
    <row r="2248" spans="7:7" hidden="1" x14ac:dyDescent="0.35">
      <c r="G2248" s="321">
        <v>45963</v>
      </c>
    </row>
    <row r="2249" spans="7:7" hidden="1" x14ac:dyDescent="0.35">
      <c r="G2249" s="321">
        <v>45964</v>
      </c>
    </row>
    <row r="2250" spans="7:7" hidden="1" x14ac:dyDescent="0.35">
      <c r="G2250" s="321">
        <v>45965</v>
      </c>
    </row>
    <row r="2251" spans="7:7" hidden="1" x14ac:dyDescent="0.35">
      <c r="G2251" s="321">
        <v>45966</v>
      </c>
    </row>
    <row r="2252" spans="7:7" hidden="1" x14ac:dyDescent="0.35">
      <c r="G2252" s="321">
        <v>45967</v>
      </c>
    </row>
    <row r="2253" spans="7:7" hidden="1" x14ac:dyDescent="0.35">
      <c r="G2253" s="321">
        <v>45968</v>
      </c>
    </row>
    <row r="2254" spans="7:7" hidden="1" x14ac:dyDescent="0.35">
      <c r="G2254" s="321">
        <v>45969</v>
      </c>
    </row>
    <row r="2255" spans="7:7" hidden="1" x14ac:dyDescent="0.35">
      <c r="G2255" s="321">
        <v>45970</v>
      </c>
    </row>
    <row r="2256" spans="7:7" hidden="1" x14ac:dyDescent="0.35">
      <c r="G2256" s="321">
        <v>45971</v>
      </c>
    </row>
    <row r="2257" spans="7:7" hidden="1" x14ac:dyDescent="0.35">
      <c r="G2257" s="321">
        <v>45972</v>
      </c>
    </row>
    <row r="2258" spans="7:7" hidden="1" x14ac:dyDescent="0.35">
      <c r="G2258" s="321">
        <v>45973</v>
      </c>
    </row>
    <row r="2259" spans="7:7" hidden="1" x14ac:dyDescent="0.35">
      <c r="G2259" s="321">
        <v>45974</v>
      </c>
    </row>
    <row r="2260" spans="7:7" hidden="1" x14ac:dyDescent="0.35">
      <c r="G2260" s="321">
        <v>45975</v>
      </c>
    </row>
    <row r="2261" spans="7:7" hidden="1" x14ac:dyDescent="0.35">
      <c r="G2261" s="321">
        <v>45976</v>
      </c>
    </row>
    <row r="2262" spans="7:7" hidden="1" x14ac:dyDescent="0.35">
      <c r="G2262" s="321">
        <v>45977</v>
      </c>
    </row>
    <row r="2263" spans="7:7" hidden="1" x14ac:dyDescent="0.35">
      <c r="G2263" s="321">
        <v>45978</v>
      </c>
    </row>
    <row r="2264" spans="7:7" hidden="1" x14ac:dyDescent="0.35">
      <c r="G2264" s="321">
        <v>45979</v>
      </c>
    </row>
    <row r="2265" spans="7:7" hidden="1" x14ac:dyDescent="0.35">
      <c r="G2265" s="321">
        <v>45980</v>
      </c>
    </row>
    <row r="2266" spans="7:7" hidden="1" x14ac:dyDescent="0.35">
      <c r="G2266" s="321">
        <v>45981</v>
      </c>
    </row>
    <row r="2267" spans="7:7" hidden="1" x14ac:dyDescent="0.35">
      <c r="G2267" s="321">
        <v>45982</v>
      </c>
    </row>
    <row r="2268" spans="7:7" hidden="1" x14ac:dyDescent="0.35">
      <c r="G2268" s="321">
        <v>45983</v>
      </c>
    </row>
    <row r="2269" spans="7:7" hidden="1" x14ac:dyDescent="0.35">
      <c r="G2269" s="321">
        <v>45984</v>
      </c>
    </row>
    <row r="2270" spans="7:7" hidden="1" x14ac:dyDescent="0.35">
      <c r="G2270" s="321">
        <v>45985</v>
      </c>
    </row>
    <row r="2271" spans="7:7" hidden="1" x14ac:dyDescent="0.35">
      <c r="G2271" s="321">
        <v>45986</v>
      </c>
    </row>
    <row r="2272" spans="7:7" hidden="1" x14ac:dyDescent="0.35">
      <c r="G2272" s="321">
        <v>45987</v>
      </c>
    </row>
    <row r="2273" spans="7:7" hidden="1" x14ac:dyDescent="0.35">
      <c r="G2273" s="321">
        <v>45988</v>
      </c>
    </row>
    <row r="2274" spans="7:7" hidden="1" x14ac:dyDescent="0.35">
      <c r="G2274" s="321">
        <v>45989</v>
      </c>
    </row>
    <row r="2275" spans="7:7" hidden="1" x14ac:dyDescent="0.35">
      <c r="G2275" s="321">
        <v>45990</v>
      </c>
    </row>
    <row r="2276" spans="7:7" hidden="1" x14ac:dyDescent="0.35">
      <c r="G2276" s="321">
        <v>45991</v>
      </c>
    </row>
    <row r="2277" spans="7:7" hidden="1" x14ac:dyDescent="0.35">
      <c r="G2277" s="321">
        <v>45992</v>
      </c>
    </row>
    <row r="2278" spans="7:7" hidden="1" x14ac:dyDescent="0.35">
      <c r="G2278" s="321">
        <v>45993</v>
      </c>
    </row>
    <row r="2279" spans="7:7" hidden="1" x14ac:dyDescent="0.35">
      <c r="G2279" s="321">
        <v>45994</v>
      </c>
    </row>
    <row r="2280" spans="7:7" hidden="1" x14ac:dyDescent="0.35">
      <c r="G2280" s="321">
        <v>45995</v>
      </c>
    </row>
    <row r="2281" spans="7:7" hidden="1" x14ac:dyDescent="0.35">
      <c r="G2281" s="321">
        <v>45996</v>
      </c>
    </row>
    <row r="2282" spans="7:7" hidden="1" x14ac:dyDescent="0.35">
      <c r="G2282" s="321">
        <v>45997</v>
      </c>
    </row>
    <row r="2283" spans="7:7" hidden="1" x14ac:dyDescent="0.35">
      <c r="G2283" s="321">
        <v>45998</v>
      </c>
    </row>
    <row r="2284" spans="7:7" hidden="1" x14ac:dyDescent="0.35">
      <c r="G2284" s="321">
        <v>45999</v>
      </c>
    </row>
    <row r="2285" spans="7:7" hidden="1" x14ac:dyDescent="0.35">
      <c r="G2285" s="321">
        <v>46000</v>
      </c>
    </row>
    <row r="2286" spans="7:7" hidden="1" x14ac:dyDescent="0.35">
      <c r="G2286" s="321">
        <v>46001</v>
      </c>
    </row>
    <row r="2287" spans="7:7" hidden="1" x14ac:dyDescent="0.35">
      <c r="G2287" s="321">
        <v>46002</v>
      </c>
    </row>
    <row r="2288" spans="7:7" hidden="1" x14ac:dyDescent="0.35">
      <c r="G2288" s="321">
        <v>46003</v>
      </c>
    </row>
    <row r="2289" spans="7:7" hidden="1" x14ac:dyDescent="0.35">
      <c r="G2289" s="321">
        <v>46004</v>
      </c>
    </row>
    <row r="2290" spans="7:7" hidden="1" x14ac:dyDescent="0.35">
      <c r="G2290" s="321">
        <v>46005</v>
      </c>
    </row>
    <row r="2291" spans="7:7" hidden="1" x14ac:dyDescent="0.35">
      <c r="G2291" s="321">
        <v>46006</v>
      </c>
    </row>
    <row r="2292" spans="7:7" hidden="1" x14ac:dyDescent="0.35">
      <c r="G2292" s="321">
        <v>46007</v>
      </c>
    </row>
    <row r="2293" spans="7:7" hidden="1" x14ac:dyDescent="0.35">
      <c r="G2293" s="321">
        <v>46008</v>
      </c>
    </row>
    <row r="2294" spans="7:7" hidden="1" x14ac:dyDescent="0.35">
      <c r="G2294" s="321">
        <v>46009</v>
      </c>
    </row>
    <row r="2295" spans="7:7" hidden="1" x14ac:dyDescent="0.35">
      <c r="G2295" s="321">
        <v>46010</v>
      </c>
    </row>
    <row r="2296" spans="7:7" hidden="1" x14ac:dyDescent="0.35">
      <c r="G2296" s="321">
        <v>46011</v>
      </c>
    </row>
    <row r="2297" spans="7:7" hidden="1" x14ac:dyDescent="0.35">
      <c r="G2297" s="321">
        <v>46012</v>
      </c>
    </row>
    <row r="2298" spans="7:7" hidden="1" x14ac:dyDescent="0.35">
      <c r="G2298" s="321">
        <v>46013</v>
      </c>
    </row>
    <row r="2299" spans="7:7" hidden="1" x14ac:dyDescent="0.35">
      <c r="G2299" s="321">
        <v>46014</v>
      </c>
    </row>
    <row r="2300" spans="7:7" hidden="1" x14ac:dyDescent="0.35">
      <c r="G2300" s="321">
        <v>46015</v>
      </c>
    </row>
    <row r="2301" spans="7:7" hidden="1" x14ac:dyDescent="0.35">
      <c r="G2301" s="321">
        <v>46016</v>
      </c>
    </row>
    <row r="2302" spans="7:7" hidden="1" x14ac:dyDescent="0.35">
      <c r="G2302" s="321">
        <v>46017</v>
      </c>
    </row>
    <row r="2303" spans="7:7" hidden="1" x14ac:dyDescent="0.35">
      <c r="G2303" s="321">
        <v>46018</v>
      </c>
    </row>
    <row r="2304" spans="7:7" hidden="1" x14ac:dyDescent="0.35">
      <c r="G2304" s="321">
        <v>46019</v>
      </c>
    </row>
    <row r="2305" spans="7:7" hidden="1" x14ac:dyDescent="0.35">
      <c r="G2305" s="321">
        <v>46020</v>
      </c>
    </row>
    <row r="2306" spans="7:7" hidden="1" x14ac:dyDescent="0.35">
      <c r="G2306" s="321">
        <v>46021</v>
      </c>
    </row>
    <row r="2307" spans="7:7" hidden="1" x14ac:dyDescent="0.35">
      <c r="G2307" s="321">
        <v>46022</v>
      </c>
    </row>
    <row r="2308" spans="7:7" x14ac:dyDescent="0.35"/>
    <row r="2309" spans="7:7" x14ac:dyDescent="0.35"/>
    <row r="2310" spans="7:7" x14ac:dyDescent="0.35"/>
    <row r="2311" spans="7:7" x14ac:dyDescent="0.35"/>
    <row r="2312" spans="7:7" x14ac:dyDescent="0.35"/>
    <row r="2313" spans="7:7" x14ac:dyDescent="0.35"/>
    <row r="2314" spans="7:7" x14ac:dyDescent="0.35"/>
    <row r="2315" spans="7:7" x14ac:dyDescent="0.35"/>
    <row r="2316" spans="7:7" x14ac:dyDescent="0.35"/>
    <row r="2317" spans="7:7" x14ac:dyDescent="0.35"/>
    <row r="2318" spans="7:7" x14ac:dyDescent="0.35"/>
    <row r="2319" spans="7:7" x14ac:dyDescent="0.35"/>
  </sheetData>
  <dataConsolidate/>
  <mergeCells count="195">
    <mergeCell ref="C105:E105"/>
    <mergeCell ref="G105:R105"/>
    <mergeCell ref="B55:E55"/>
    <mergeCell ref="B53:E53"/>
    <mergeCell ref="B54:E54"/>
    <mergeCell ref="I61:M61"/>
    <mergeCell ref="W88:AD88"/>
    <mergeCell ref="AG85:AL85"/>
    <mergeCell ref="B81:T81"/>
    <mergeCell ref="V81:AO81"/>
    <mergeCell ref="T61:X61"/>
    <mergeCell ref="F55:I55"/>
    <mergeCell ref="P53:T53"/>
    <mergeCell ref="J53:O53"/>
    <mergeCell ref="J55:O55"/>
    <mergeCell ref="M90:R90"/>
    <mergeCell ref="W90:AD90"/>
    <mergeCell ref="W92:AD92"/>
    <mergeCell ref="M92:R92"/>
    <mergeCell ref="AG90:AL90"/>
    <mergeCell ref="C88:J88"/>
    <mergeCell ref="B104:T104"/>
    <mergeCell ref="M88:R88"/>
    <mergeCell ref="B64:AO64"/>
    <mergeCell ref="C66:C76"/>
    <mergeCell ref="AG98:AK98"/>
    <mergeCell ref="W98:AD98"/>
    <mergeCell ref="G67:AL67"/>
    <mergeCell ref="G69:AL69"/>
    <mergeCell ref="B103:T103"/>
    <mergeCell ref="C39:G40"/>
    <mergeCell ref="AF39:AM40"/>
    <mergeCell ref="M93:P93"/>
    <mergeCell ref="C93:G93"/>
    <mergeCell ref="AG93:AK93"/>
    <mergeCell ref="AG96:AL96"/>
    <mergeCell ref="W96:AD96"/>
    <mergeCell ref="C92:J92"/>
    <mergeCell ref="H84:I84"/>
    <mergeCell ref="C84:G84"/>
    <mergeCell ref="B57:AO57"/>
    <mergeCell ref="W85:AD85"/>
    <mergeCell ref="C86:J86"/>
    <mergeCell ref="W86:AE86"/>
    <mergeCell ref="C83:I83"/>
    <mergeCell ref="C90:J90"/>
    <mergeCell ref="F54:I54"/>
    <mergeCell ref="J54:O54"/>
    <mergeCell ref="B52:E52"/>
    <mergeCell ref="AG94:AL94"/>
    <mergeCell ref="AG88:AL88"/>
    <mergeCell ref="AG92:AL92"/>
    <mergeCell ref="AF83:AL83"/>
    <mergeCell ref="B79:AO79"/>
    <mergeCell ref="L83:R83"/>
    <mergeCell ref="B61:G61"/>
    <mergeCell ref="I59:M59"/>
    <mergeCell ref="P52:T52"/>
    <mergeCell ref="F53:I53"/>
    <mergeCell ref="Z54:AC54"/>
    <mergeCell ref="AD54:AH54"/>
    <mergeCell ref="P54:T54"/>
    <mergeCell ref="V54:Y54"/>
    <mergeCell ref="M85:R85"/>
    <mergeCell ref="V53:Y53"/>
    <mergeCell ref="AD52:AH52"/>
    <mergeCell ref="G71:AL72"/>
    <mergeCell ref="G74:AL75"/>
    <mergeCell ref="V55:Y55"/>
    <mergeCell ref="Z55:AC55"/>
    <mergeCell ref="N59:R59"/>
    <mergeCell ref="T59:X59"/>
    <mergeCell ref="J51:O51"/>
    <mergeCell ref="Z51:AC51"/>
    <mergeCell ref="P51:T51"/>
    <mergeCell ref="V51:Y51"/>
    <mergeCell ref="AD51:AH51"/>
    <mergeCell ref="B109:T109"/>
    <mergeCell ref="G106:R106"/>
    <mergeCell ref="H108:R108"/>
    <mergeCell ref="AE59:AN59"/>
    <mergeCell ref="AI86:AL86"/>
    <mergeCell ref="H107:R107"/>
    <mergeCell ref="V103:AO103"/>
    <mergeCell ref="O86:R86"/>
    <mergeCell ref="W100:AD100"/>
    <mergeCell ref="W99:AD99"/>
    <mergeCell ref="W93:AD93"/>
    <mergeCell ref="M94:R94"/>
    <mergeCell ref="M98:R98"/>
    <mergeCell ref="W94:AD94"/>
    <mergeCell ref="M96:R96"/>
    <mergeCell ref="E96:L96"/>
    <mergeCell ref="C85:J85"/>
    <mergeCell ref="B59:G59"/>
    <mergeCell ref="W83:AC83"/>
    <mergeCell ref="J52:O52"/>
    <mergeCell ref="V52:Y52"/>
    <mergeCell ref="Z53:AC53"/>
    <mergeCell ref="AD53:AH53"/>
    <mergeCell ref="Z52:AC52"/>
    <mergeCell ref="Z59:AD59"/>
    <mergeCell ref="N36:Q36"/>
    <mergeCell ref="N35:Q35"/>
    <mergeCell ref="AE36:AH36"/>
    <mergeCell ref="J42:Q43"/>
    <mergeCell ref="R42:AM43"/>
    <mergeCell ref="AE45:AL45"/>
    <mergeCell ref="AD55:AH55"/>
    <mergeCell ref="AI54:AO54"/>
    <mergeCell ref="AI55:AO55"/>
    <mergeCell ref="AI53:AO53"/>
    <mergeCell ref="J46:Q46"/>
    <mergeCell ref="AE46:AL46"/>
    <mergeCell ref="P55:T55"/>
    <mergeCell ref="V50:AO50"/>
    <mergeCell ref="AI51:AO51"/>
    <mergeCell ref="J47:AL47"/>
    <mergeCell ref="B49:AO49"/>
    <mergeCell ref="B50:T50"/>
    <mergeCell ref="AI36:AL36"/>
    <mergeCell ref="C31:G37"/>
    <mergeCell ref="AE35:AH35"/>
    <mergeCell ref="R36:U36"/>
    <mergeCell ref="V36:Y36"/>
    <mergeCell ref="Z36:AD36"/>
    <mergeCell ref="J35:M35"/>
    <mergeCell ref="J36:M36"/>
    <mergeCell ref="V31:Y31"/>
    <mergeCell ref="Z32:AD33"/>
    <mergeCell ref="Z31:AD31"/>
    <mergeCell ref="AI31:AL31"/>
    <mergeCell ref="V35:Y35"/>
    <mergeCell ref="R35:U35"/>
    <mergeCell ref="AI35:AL35"/>
    <mergeCell ref="Z35:AD35"/>
    <mergeCell ref="R31:U31"/>
    <mergeCell ref="AI32:AL33"/>
    <mergeCell ref="AE32:AH33"/>
    <mergeCell ref="AH2:AI2"/>
    <mergeCell ref="AE8:AL8"/>
    <mergeCell ref="AI6:AL6"/>
    <mergeCell ref="S6:AB6"/>
    <mergeCell ref="AE2:AG2"/>
    <mergeCell ref="AA8:AD8"/>
    <mergeCell ref="S8:U8"/>
    <mergeCell ref="G12:AO13"/>
    <mergeCell ref="AB2:AD2"/>
    <mergeCell ref="AL2:AN2"/>
    <mergeCell ref="AA27:AE27"/>
    <mergeCell ref="AA28:AE28"/>
    <mergeCell ref="O28:R28"/>
    <mergeCell ref="J31:M31"/>
    <mergeCell ref="J32:M33"/>
    <mergeCell ref="N31:Q31"/>
    <mergeCell ref="AK18:AL18"/>
    <mergeCell ref="AD18:AH18"/>
    <mergeCell ref="L6:N6"/>
    <mergeCell ref="O6:R6"/>
    <mergeCell ref="C16:L16"/>
    <mergeCell ref="U16:W16"/>
    <mergeCell ref="AB16:AL16"/>
    <mergeCell ref="C18:N18"/>
    <mergeCell ref="R18:U18"/>
    <mergeCell ref="V18:W18"/>
    <mergeCell ref="AI18:AJ18"/>
    <mergeCell ref="X18:AB18"/>
    <mergeCell ref="B12:E13"/>
    <mergeCell ref="C8:H8"/>
    <mergeCell ref="I8:R8"/>
    <mergeCell ref="V8:Z8"/>
    <mergeCell ref="C42:G43"/>
    <mergeCell ref="J45:Q45"/>
    <mergeCell ref="B51:E51"/>
    <mergeCell ref="F51:I51"/>
    <mergeCell ref="AI52:AO52"/>
    <mergeCell ref="F52:I52"/>
    <mergeCell ref="O27:R27"/>
    <mergeCell ref="T27:W27"/>
    <mergeCell ref="AF20:AJ20"/>
    <mergeCell ref="R32:U33"/>
    <mergeCell ref="AA29:AF29"/>
    <mergeCell ref="J30:M30"/>
    <mergeCell ref="AH29:AL29"/>
    <mergeCell ref="C20:I20"/>
    <mergeCell ref="W20:Y20"/>
    <mergeCell ref="C27:G28"/>
    <mergeCell ref="J27:M27"/>
    <mergeCell ref="P20:V20"/>
    <mergeCell ref="V32:Y33"/>
    <mergeCell ref="N32:Q33"/>
    <mergeCell ref="T28:W28"/>
    <mergeCell ref="J28:M28"/>
    <mergeCell ref="J20:K20"/>
    <mergeCell ref="AE31:AH31"/>
  </mergeCells>
  <dataValidations count="12">
    <dataValidation type="list" allowBlank="1" showInputMessage="1" showErrorMessage="1" sqref="AM18:AN18" xr:uid="{00000000-0002-0000-0000-000000000000}">
      <formula1>$J$117:$J$127</formula1>
    </dataValidation>
    <dataValidation type="list" allowBlank="1" showInputMessage="1" showErrorMessage="1" sqref="G6" xr:uid="{00000000-0002-0000-0000-000002000000}">
      <formula1>$R$115:$R$566</formula1>
    </dataValidation>
    <dataValidation type="list" allowBlank="1" showInputMessage="1" showErrorMessage="1" sqref="AL2" xr:uid="{00000000-0002-0000-0000-000004000000}">
      <formula1>$O$116:$O$127</formula1>
    </dataValidation>
    <dataValidation type="list" allowBlank="1" showInputMessage="1" showErrorMessage="1" sqref="AI18:AJ18" xr:uid="{00000000-0002-0000-0000-000005000000}">
      <formula1>$J$117:$J$129</formula1>
    </dataValidation>
    <dataValidation type="list" allowBlank="1" showInputMessage="1" showErrorMessage="1" sqref="AM20:AN20" xr:uid="{00000000-0002-0000-0000-000006000000}">
      <formula1>$M$117:$M$146</formula1>
    </dataValidation>
    <dataValidation type="list" allowBlank="1" showInputMessage="1" showErrorMessage="1" sqref="I61:M61" xr:uid="{00000000-0002-0000-0000-000009000000}">
      <formula1>$AA$131:$AA$133</formula1>
    </dataValidation>
    <dataValidation type="list" allowBlank="1" showInputMessage="1" showErrorMessage="1" sqref="AB2:AD2" xr:uid="{00000000-0002-0000-0000-00000A000000}">
      <formula1>$AA$117:$AA$123</formula1>
    </dataValidation>
    <dataValidation type="list" allowBlank="1" showInputMessage="1" showErrorMessage="1" sqref="S6" xr:uid="{43E69FFD-F398-4B39-90D2-E4522ACFD2AB}">
      <formula1>$AB$124:$AB$132</formula1>
    </dataValidation>
    <dataValidation type="list" allowBlank="1" showInputMessage="1" showErrorMessage="1" sqref="AI6:AL6 R18:U18 X18:AB18" xr:uid="{268F6DC1-8A72-4F3A-9498-9EB7C2792103}">
      <formula1>$G$123:$G$2314</formula1>
    </dataValidation>
    <dataValidation type="list" allowBlank="1" showInputMessage="1" showErrorMessage="1" sqref="AE8:AL8" xr:uid="{672CAAB8-C73B-47D8-A372-12F7DA5F9631}">
      <formula1>$AQ$149:$AQ$170</formula1>
    </dataValidation>
    <dataValidation type="list" allowBlank="1" showInputMessage="1" showErrorMessage="1" sqref="I59" xr:uid="{8DD2A7E6-B5BF-4674-BD76-16916675A7B5}">
      <formula1>$AA$134:$AA$135</formula1>
    </dataValidation>
    <dataValidation type="list" allowBlank="1" showInputMessage="1" showErrorMessage="1" sqref="AE59" xr:uid="{4ED305E4-FDFF-47DC-9CDA-C0EB9E7C749C}">
      <formula1>$AQ$121:$AQ$146</formula1>
    </dataValidation>
  </dataValidations>
  <printOptions horizontalCentered="1" verticalCentered="1"/>
  <pageMargins left="0.70866141732283472" right="0.82677165354330717" top="0.86614173228346458" bottom="1.1660416666666666" header="0.27559055118110237" footer="0.27559055118110237"/>
  <pageSetup paperSize="5" scale="58" orientation="portrait" r:id="rId1"/>
  <headerFooter>
    <oddHeader>&amp;L&amp;9
&amp;G&amp;C&amp;"Montserrat,Negrita"&amp;12&amp;K0070C0
CERTIFICACIÓN  
DE SUPERVISIÓN&amp;R&amp;G</oddHeader>
    <oddFooter>&amp;L&amp;"Montserrat,Normal"&amp;9&amp;K000000Dirección: Calle 24A No. 59-42 Torre 4 Piso 3 
Centro Empresarial Sarmiento Angulo
Conmutador: (+601) 307 8038
Línea gratuita: 01 8000 119703&amp;C&amp;9&amp;P de &amp;N
FOR-GCO-360-068
11/10/2023 Versión: 19
&amp;G&amp;R&amp;G</oddFooter>
  </headerFooter>
  <ignoredErrors>
    <ignoredError sqref="V117" numberStoredAsText="1"/>
  </ignoredErrors>
  <legacy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XEZ854"/>
  <sheetViews>
    <sheetView showGridLines="0" view="pageLayout" topLeftCell="A25" zoomScaleNormal="100" zoomScaleSheetLayoutView="100" workbookViewId="0">
      <selection activeCell="G33" sqref="G33"/>
    </sheetView>
  </sheetViews>
  <sheetFormatPr baseColWidth="10" defaultColWidth="0" defaultRowHeight="18" zeroHeight="1" x14ac:dyDescent="0.35"/>
  <cols>
    <col min="1" max="1" width="2" style="1" customWidth="1"/>
    <col min="2" max="2" width="1.42578125" style="1" customWidth="1"/>
    <col min="3" max="3" width="14.7109375" style="1" customWidth="1"/>
    <col min="4" max="4" width="4.42578125" style="1" customWidth="1"/>
    <col min="5" max="5" width="12.85546875" style="1" customWidth="1"/>
    <col min="6" max="6" width="5" style="1" customWidth="1"/>
    <col min="7" max="7" width="10.28515625" style="1" customWidth="1"/>
    <col min="8" max="8" width="11.140625" style="1" customWidth="1"/>
    <col min="9" max="9" width="4.7109375" style="1" customWidth="1"/>
    <col min="10" max="10" width="5.42578125" style="1" customWidth="1"/>
    <col min="11" max="11" width="7.42578125" style="1" customWidth="1"/>
    <col min="12" max="12" width="8.28515625" style="1" customWidth="1"/>
    <col min="13" max="13" width="8.85546875" style="1" customWidth="1"/>
    <col min="14" max="14" width="15.42578125" style="1" customWidth="1"/>
    <col min="15" max="15" width="2.5703125" style="1" customWidth="1"/>
    <col min="16" max="16" width="20.140625" style="1" hidden="1" customWidth="1"/>
    <col min="17" max="17" width="11.42578125" style="1" hidden="1" customWidth="1"/>
    <col min="18" max="16380" width="11.42578125" style="1" hidden="1"/>
    <col min="16381" max="16381" width="0.42578125" style="1" customWidth="1"/>
    <col min="16382" max="16382" width="6.140625" style="1" customWidth="1"/>
    <col min="16383" max="16384" width="3.85546875" style="1" customWidth="1"/>
  </cols>
  <sheetData>
    <row r="1" spans="1:16" ht="0.75" customHeight="1" thickBot="1" x14ac:dyDescent="0.4">
      <c r="A1" s="39"/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39.75" customHeight="1" thickTop="1" thickBot="1" x14ac:dyDescent="0.4">
      <c r="A2" s="590" t="s">
        <v>602</v>
      </c>
      <c r="B2" s="591"/>
      <c r="C2" s="591"/>
      <c r="D2" s="591"/>
      <c r="E2" s="591"/>
      <c r="F2" s="591"/>
      <c r="G2" s="591"/>
      <c r="H2" s="591"/>
      <c r="I2" s="591"/>
      <c r="J2" s="591"/>
      <c r="K2" s="591"/>
      <c r="L2" s="591"/>
      <c r="M2" s="591"/>
      <c r="N2" s="591"/>
      <c r="O2" s="591"/>
      <c r="P2" s="592"/>
    </row>
    <row r="3" spans="1:16" ht="5.25" customHeight="1" thickTop="1" thickBot="1" x14ac:dyDescent="0.4">
      <c r="A3" s="30"/>
      <c r="B3" s="40"/>
      <c r="C3" s="30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</row>
    <row r="4" spans="1:16" ht="5.25" customHeight="1" thickTop="1" x14ac:dyDescent="0.35">
      <c r="A4" s="41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3"/>
    </row>
    <row r="5" spans="1:16" ht="15.75" customHeight="1" x14ac:dyDescent="0.35">
      <c r="A5" s="44"/>
      <c r="B5" s="45"/>
      <c r="C5" s="45"/>
      <c r="D5" s="45"/>
      <c r="E5" s="45"/>
      <c r="F5" s="45"/>
      <c r="G5" s="45"/>
      <c r="H5" s="45"/>
      <c r="I5" s="45"/>
      <c r="J5" s="45"/>
      <c r="K5" s="593" t="s">
        <v>37</v>
      </c>
      <c r="L5" s="594"/>
      <c r="M5" s="595">
        <v>45351</v>
      </c>
      <c r="N5" s="596"/>
      <c r="O5" s="45"/>
      <c r="P5" s="46"/>
    </row>
    <row r="6" spans="1:16" ht="15.75" customHeight="1" x14ac:dyDescent="0.35">
      <c r="A6" s="597" t="s">
        <v>603</v>
      </c>
      <c r="B6" s="598"/>
      <c r="C6" s="598"/>
      <c r="D6" s="598"/>
      <c r="E6" s="598"/>
      <c r="F6" s="598"/>
      <c r="G6" s="598"/>
      <c r="H6" s="598"/>
      <c r="I6" s="598"/>
      <c r="J6" s="598"/>
      <c r="K6" s="598"/>
      <c r="L6" s="598"/>
      <c r="M6" s="598"/>
      <c r="N6" s="598"/>
      <c r="O6" s="598"/>
      <c r="P6" s="599"/>
    </row>
    <row r="7" spans="1:16" ht="12" customHeight="1" x14ac:dyDescent="0.35">
      <c r="A7" s="597"/>
      <c r="B7" s="598"/>
      <c r="C7" s="598"/>
      <c r="D7" s="598"/>
      <c r="E7" s="598"/>
      <c r="F7" s="598"/>
      <c r="G7" s="598"/>
      <c r="H7" s="598"/>
      <c r="I7" s="598"/>
      <c r="J7" s="598"/>
      <c r="K7" s="598"/>
      <c r="L7" s="598"/>
      <c r="M7" s="598"/>
      <c r="N7" s="598"/>
      <c r="O7" s="598"/>
      <c r="P7" s="599"/>
    </row>
    <row r="8" spans="1:16" s="28" customFormat="1" ht="15" customHeight="1" x14ac:dyDescent="0.3">
      <c r="A8" s="47"/>
      <c r="B8" s="600" t="s">
        <v>604</v>
      </c>
      <c r="C8" s="601"/>
      <c r="D8" s="601"/>
      <c r="E8" s="601"/>
      <c r="F8" s="601"/>
      <c r="G8" s="601"/>
      <c r="H8" s="601"/>
      <c r="I8" s="601"/>
      <c r="J8" s="601"/>
      <c r="K8" s="601"/>
      <c r="L8" s="601"/>
      <c r="M8" s="601"/>
      <c r="N8" s="601"/>
      <c r="O8" s="602"/>
      <c r="P8" s="48"/>
    </row>
    <row r="9" spans="1:16" ht="21.75" customHeight="1" x14ac:dyDescent="0.35">
      <c r="A9" s="47"/>
      <c r="B9" s="49"/>
      <c r="C9" s="587" t="s">
        <v>605</v>
      </c>
      <c r="D9" s="587"/>
      <c r="E9" s="587"/>
      <c r="F9" s="50"/>
      <c r="G9" s="588">
        <f>'CERTIFICACION SUPERVISION'!I8</f>
        <v>0</v>
      </c>
      <c r="H9" s="588"/>
      <c r="I9" s="588"/>
      <c r="J9" s="588"/>
      <c r="K9" s="588"/>
      <c r="L9" s="588"/>
      <c r="M9" s="588"/>
      <c r="N9" s="588"/>
      <c r="O9" s="51"/>
      <c r="P9" s="48"/>
    </row>
    <row r="10" spans="1:16" ht="21" customHeight="1" x14ac:dyDescent="0.35">
      <c r="A10" s="47"/>
      <c r="B10" s="49"/>
      <c r="C10" s="587" t="s">
        <v>606</v>
      </c>
      <c r="D10" s="587"/>
      <c r="E10" s="587"/>
      <c r="F10" s="50"/>
      <c r="G10" s="589">
        <f>'CERTIFICACION SUPERVISION'!V8</f>
        <v>1014181256</v>
      </c>
      <c r="H10" s="589"/>
      <c r="I10" s="589"/>
      <c r="J10" s="589"/>
      <c r="K10" s="589"/>
      <c r="L10" s="589"/>
      <c r="M10" s="589"/>
      <c r="N10" s="589"/>
      <c r="O10" s="51"/>
      <c r="P10" s="48"/>
    </row>
    <row r="11" spans="1:16" ht="21" customHeight="1" x14ac:dyDescent="0.35">
      <c r="A11" s="47"/>
      <c r="B11" s="49"/>
      <c r="C11" s="587" t="s">
        <v>607</v>
      </c>
      <c r="D11" s="587"/>
      <c r="E11" s="587"/>
      <c r="F11" s="50"/>
      <c r="G11" s="570" t="str">
        <f>'CERTIFICACION SUPERVISION'!I61</f>
        <v>No responsable</v>
      </c>
      <c r="H11" s="570"/>
      <c r="I11" s="570"/>
      <c r="J11" s="570"/>
      <c r="K11" s="570"/>
      <c r="L11" s="570"/>
      <c r="M11" s="570"/>
      <c r="N11" s="570"/>
      <c r="O11" s="52"/>
      <c r="P11" s="48"/>
    </row>
    <row r="12" spans="1:16" ht="6.75" customHeight="1" x14ac:dyDescent="0.35">
      <c r="A12" s="47"/>
      <c r="B12" s="53"/>
      <c r="C12" s="54"/>
      <c r="D12" s="54"/>
      <c r="E12" s="54"/>
      <c r="F12" s="54"/>
      <c r="G12" s="54"/>
      <c r="H12" s="54"/>
      <c r="I12" s="54"/>
      <c r="J12" s="54"/>
      <c r="K12" s="55"/>
      <c r="L12" s="55"/>
      <c r="M12" s="55"/>
      <c r="N12" s="55"/>
      <c r="O12" s="56"/>
      <c r="P12" s="48"/>
    </row>
    <row r="13" spans="1:16" s="28" customFormat="1" ht="5.25" customHeight="1" x14ac:dyDescent="0.3">
      <c r="A13" s="47"/>
      <c r="B13" s="57"/>
      <c r="C13" s="50"/>
      <c r="D13" s="50"/>
      <c r="E13" s="50"/>
      <c r="F13" s="50"/>
      <c r="G13" s="58"/>
      <c r="H13" s="58"/>
      <c r="I13" s="50"/>
      <c r="J13" s="50"/>
      <c r="K13" s="332"/>
      <c r="L13" s="332"/>
      <c r="M13" s="332"/>
      <c r="N13" s="332"/>
      <c r="O13" s="30"/>
      <c r="P13" s="48"/>
    </row>
    <row r="14" spans="1:16" s="61" customFormat="1" ht="15" customHeight="1" x14ac:dyDescent="0.25">
      <c r="A14" s="59"/>
      <c r="B14" s="583" t="s">
        <v>1270</v>
      </c>
      <c r="C14" s="584"/>
      <c r="D14" s="584"/>
      <c r="E14" s="584"/>
      <c r="F14" s="584"/>
      <c r="G14" s="584"/>
      <c r="H14" s="584"/>
      <c r="I14" s="584"/>
      <c r="J14" s="584"/>
      <c r="K14" s="584"/>
      <c r="L14" s="584"/>
      <c r="M14" s="584"/>
      <c r="N14" s="584"/>
      <c r="O14" s="585"/>
      <c r="P14" s="60"/>
    </row>
    <row r="15" spans="1:16" s="28" customFormat="1" ht="3.95" customHeight="1" x14ac:dyDescent="0.3">
      <c r="A15" s="47"/>
      <c r="B15" s="62"/>
      <c r="C15" s="30"/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30"/>
      <c r="O15" s="52"/>
      <c r="P15" s="48"/>
    </row>
    <row r="16" spans="1:16" ht="3.95" customHeight="1" x14ac:dyDescent="0.35">
      <c r="A16" s="47"/>
      <c r="B16" s="62"/>
      <c r="C16" s="30"/>
      <c r="D16" s="30"/>
      <c r="E16" s="40"/>
      <c r="F16" s="334"/>
      <c r="G16" s="334"/>
      <c r="H16" s="40"/>
      <c r="I16" s="334"/>
      <c r="J16" s="334"/>
      <c r="K16" s="30"/>
      <c r="L16" s="30"/>
      <c r="M16" s="30"/>
      <c r="N16" s="30"/>
      <c r="O16" s="52"/>
      <c r="P16" s="48"/>
    </row>
    <row r="17" spans="1:16" ht="10.5" customHeight="1" x14ac:dyDescent="0.35">
      <c r="A17" s="47"/>
      <c r="B17" s="62"/>
      <c r="C17" s="574" t="s">
        <v>1271</v>
      </c>
      <c r="D17" s="574"/>
      <c r="E17" s="574"/>
      <c r="F17" s="574"/>
      <c r="G17" s="574"/>
      <c r="H17" s="574"/>
      <c r="I17" s="574"/>
      <c r="J17" s="574"/>
      <c r="K17" s="574"/>
      <c r="L17" s="574"/>
      <c r="M17" s="574"/>
      <c r="N17" s="574"/>
      <c r="O17" s="52"/>
      <c r="P17" s="48"/>
    </row>
    <row r="18" spans="1:16" ht="11.25" customHeight="1" x14ac:dyDescent="0.35">
      <c r="A18" s="47"/>
      <c r="B18" s="62"/>
      <c r="C18" s="574"/>
      <c r="D18" s="574"/>
      <c r="E18" s="574"/>
      <c r="F18" s="574"/>
      <c r="G18" s="574"/>
      <c r="H18" s="574"/>
      <c r="I18" s="574"/>
      <c r="J18" s="574"/>
      <c r="K18" s="574"/>
      <c r="L18" s="574"/>
      <c r="M18" s="574"/>
      <c r="N18" s="574"/>
      <c r="O18" s="52"/>
      <c r="P18" s="48"/>
    </row>
    <row r="19" spans="1:16" ht="12.95" customHeight="1" x14ac:dyDescent="0.35">
      <c r="A19" s="47"/>
      <c r="B19" s="62"/>
      <c r="C19" s="30"/>
      <c r="D19" s="30"/>
      <c r="E19" s="40" t="s">
        <v>7</v>
      </c>
      <c r="F19" s="63"/>
      <c r="G19" s="334"/>
      <c r="H19" s="40" t="s">
        <v>3</v>
      </c>
      <c r="I19" s="63" t="s">
        <v>1222</v>
      </c>
      <c r="J19" s="334"/>
      <c r="K19" s="30"/>
      <c r="L19" s="30"/>
      <c r="M19" s="30"/>
      <c r="N19" s="30"/>
      <c r="O19" s="52"/>
      <c r="P19" s="48"/>
    </row>
    <row r="20" spans="1:16" ht="3.95" customHeight="1" x14ac:dyDescent="0.35">
      <c r="A20" s="47"/>
      <c r="B20" s="62"/>
      <c r="C20" s="30"/>
      <c r="D20" s="30"/>
      <c r="E20" s="40"/>
      <c r="F20" s="334"/>
      <c r="G20" s="334"/>
      <c r="H20" s="40"/>
      <c r="I20" s="334"/>
      <c r="J20" s="334"/>
      <c r="K20" s="30"/>
      <c r="L20" s="30"/>
      <c r="M20" s="30"/>
      <c r="N20" s="30"/>
      <c r="O20" s="52"/>
      <c r="P20" s="48"/>
    </row>
    <row r="21" spans="1:16" x14ac:dyDescent="0.35">
      <c r="A21" s="47"/>
      <c r="B21" s="62"/>
      <c r="C21" s="30" t="s">
        <v>608</v>
      </c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52"/>
      <c r="P21" s="48"/>
    </row>
    <row r="22" spans="1:16" ht="3.95" customHeight="1" x14ac:dyDescent="0.35">
      <c r="A22" s="47"/>
      <c r="B22" s="62"/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52"/>
      <c r="P22" s="48"/>
    </row>
    <row r="23" spans="1:16" ht="12.95" customHeight="1" x14ac:dyDescent="0.35">
      <c r="A23" s="47"/>
      <c r="B23" s="62"/>
      <c r="C23" s="30"/>
      <c r="D23" s="30"/>
      <c r="E23" s="40" t="s">
        <v>7</v>
      </c>
      <c r="F23" s="63" t="s">
        <v>1222</v>
      </c>
      <c r="G23" s="334"/>
      <c r="H23" s="40" t="s">
        <v>3</v>
      </c>
      <c r="I23" s="63"/>
      <c r="J23" s="334"/>
      <c r="K23" s="30"/>
      <c r="L23" s="30"/>
      <c r="M23" s="30"/>
      <c r="N23" s="30"/>
      <c r="O23" s="52"/>
      <c r="P23" s="48"/>
    </row>
    <row r="24" spans="1:16" ht="3.95" customHeight="1" x14ac:dyDescent="0.35">
      <c r="A24" s="47"/>
      <c r="B24" s="62"/>
      <c r="C24" s="30"/>
      <c r="D24" s="30"/>
      <c r="E24" s="40"/>
      <c r="F24" s="334"/>
      <c r="G24" s="334"/>
      <c r="H24" s="40"/>
      <c r="I24" s="334"/>
      <c r="J24" s="334"/>
      <c r="K24" s="30"/>
      <c r="L24" s="30"/>
      <c r="M24" s="30"/>
      <c r="N24" s="30"/>
      <c r="O24" s="52"/>
      <c r="P24" s="48"/>
    </row>
    <row r="25" spans="1:16" ht="12.95" customHeight="1" x14ac:dyDescent="0.35">
      <c r="A25" s="47"/>
      <c r="B25" s="62"/>
      <c r="C25" s="574" t="s">
        <v>609</v>
      </c>
      <c r="D25" s="574"/>
      <c r="E25" s="574"/>
      <c r="F25" s="574"/>
      <c r="G25" s="574"/>
      <c r="H25" s="574"/>
      <c r="I25" s="574"/>
      <c r="J25" s="574"/>
      <c r="K25" s="574"/>
      <c r="L25" s="574"/>
      <c r="M25" s="574"/>
      <c r="N25" s="574"/>
      <c r="O25" s="52"/>
      <c r="P25" s="48"/>
    </row>
    <row r="26" spans="1:16" ht="3.95" customHeight="1" x14ac:dyDescent="0.35">
      <c r="A26" s="47"/>
      <c r="B26" s="62"/>
      <c r="C26" s="331"/>
      <c r="D26" s="331"/>
      <c r="E26" s="331"/>
      <c r="F26" s="331"/>
      <c r="G26" s="331"/>
      <c r="H26" s="331"/>
      <c r="I26" s="331"/>
      <c r="J26" s="331"/>
      <c r="K26" s="331"/>
      <c r="L26" s="331"/>
      <c r="M26" s="331"/>
      <c r="N26" s="331"/>
      <c r="O26" s="52"/>
      <c r="P26" s="48"/>
    </row>
    <row r="27" spans="1:16" ht="12.95" customHeight="1" x14ac:dyDescent="0.35">
      <c r="A27" s="47"/>
      <c r="B27" s="62"/>
      <c r="C27" s="30"/>
      <c r="D27" s="30"/>
      <c r="E27" s="40" t="s">
        <v>7</v>
      </c>
      <c r="F27" s="63" t="s">
        <v>1222</v>
      </c>
      <c r="G27" s="334"/>
      <c r="H27" s="40" t="s">
        <v>3</v>
      </c>
      <c r="I27" s="63"/>
      <c r="J27" s="334"/>
      <c r="K27" s="30"/>
      <c r="L27" s="30"/>
      <c r="M27" s="30"/>
      <c r="N27" s="30"/>
      <c r="O27" s="52"/>
      <c r="P27" s="48"/>
    </row>
    <row r="28" spans="1:16" ht="5.25" customHeight="1" x14ac:dyDescent="0.35">
      <c r="A28" s="47"/>
      <c r="B28" s="64"/>
      <c r="C28" s="65"/>
      <c r="D28" s="65"/>
      <c r="E28" s="66"/>
      <c r="F28" s="66"/>
      <c r="G28" s="66"/>
      <c r="H28" s="66"/>
      <c r="I28" s="65"/>
      <c r="J28" s="65"/>
      <c r="K28" s="65"/>
      <c r="L28" s="65"/>
      <c r="M28" s="65"/>
      <c r="N28" s="65"/>
      <c r="O28" s="56"/>
      <c r="P28" s="48"/>
    </row>
    <row r="29" spans="1:16" ht="4.5" customHeight="1" x14ac:dyDescent="0.35">
      <c r="A29" s="47"/>
      <c r="B29" s="40"/>
      <c r="C29" s="30"/>
      <c r="D29" s="30"/>
      <c r="E29" s="40"/>
      <c r="F29" s="40"/>
      <c r="G29" s="40"/>
      <c r="H29" s="40"/>
      <c r="I29" s="30"/>
      <c r="J29" s="30"/>
      <c r="K29" s="30"/>
      <c r="L29" s="30"/>
      <c r="M29" s="30"/>
      <c r="N29" s="30"/>
      <c r="O29" s="30"/>
      <c r="P29" s="48"/>
    </row>
    <row r="30" spans="1:16" s="70" customFormat="1" ht="15" customHeight="1" x14ac:dyDescent="0.25">
      <c r="A30" s="68"/>
      <c r="B30" s="583" t="s">
        <v>610</v>
      </c>
      <c r="C30" s="584"/>
      <c r="D30" s="584"/>
      <c r="E30" s="584"/>
      <c r="F30" s="584"/>
      <c r="G30" s="584"/>
      <c r="H30" s="584"/>
      <c r="I30" s="584"/>
      <c r="J30" s="584"/>
      <c r="K30" s="584"/>
      <c r="L30" s="584"/>
      <c r="M30" s="584"/>
      <c r="N30" s="584"/>
      <c r="O30" s="585"/>
      <c r="P30" s="69"/>
    </row>
    <row r="31" spans="1:16" ht="3.75" customHeight="1" x14ac:dyDescent="0.35">
      <c r="A31" s="47"/>
      <c r="B31" s="62"/>
      <c r="C31" s="30"/>
      <c r="D31" s="30"/>
      <c r="E31" s="30"/>
      <c r="F31" s="30"/>
      <c r="G31" s="30"/>
      <c r="H31" s="30"/>
      <c r="I31" s="30"/>
      <c r="J31" s="30"/>
      <c r="K31" s="30"/>
      <c r="L31" s="30"/>
      <c r="M31" s="30"/>
      <c r="N31" s="30"/>
      <c r="O31" s="52"/>
      <c r="P31" s="48"/>
    </row>
    <row r="32" spans="1:16" ht="16.5" customHeight="1" x14ac:dyDescent="0.35">
      <c r="A32" s="47"/>
      <c r="B32" s="62"/>
      <c r="C32" s="30" t="s">
        <v>611</v>
      </c>
      <c r="D32" s="30"/>
      <c r="E32" s="586">
        <v>28709577</v>
      </c>
      <c r="F32" s="586"/>
      <c r="G32" s="586"/>
      <c r="H32" s="30"/>
      <c r="I32" s="561" t="s">
        <v>612</v>
      </c>
      <c r="J32" s="561"/>
      <c r="K32" s="561"/>
      <c r="L32" s="561"/>
      <c r="M32" s="571" t="s">
        <v>623</v>
      </c>
      <c r="N32" s="571"/>
      <c r="O32" s="52"/>
      <c r="P32" s="48"/>
    </row>
    <row r="33" spans="1:16" ht="9" customHeight="1" x14ac:dyDescent="0.35">
      <c r="A33" s="47"/>
      <c r="B33" s="62"/>
      <c r="C33" s="30"/>
      <c r="D33" s="30"/>
      <c r="E33" s="30"/>
      <c r="F33" s="30"/>
      <c r="G33" s="30"/>
      <c r="H33" s="30"/>
      <c r="I33" s="30"/>
      <c r="J33" s="30"/>
      <c r="K33" s="30"/>
      <c r="L33" s="30"/>
      <c r="M33" s="71"/>
      <c r="N33" s="71"/>
      <c r="O33" s="52"/>
      <c r="P33" s="48"/>
    </row>
    <row r="34" spans="1:16" x14ac:dyDescent="0.35">
      <c r="A34" s="47"/>
      <c r="B34" s="62"/>
      <c r="C34" s="30" t="s">
        <v>1258</v>
      </c>
      <c r="D34" s="30"/>
      <c r="E34" s="568" t="s">
        <v>1260</v>
      </c>
      <c r="F34" s="568"/>
      <c r="G34" s="568"/>
      <c r="H34" s="30"/>
      <c r="I34" s="561" t="s">
        <v>613</v>
      </c>
      <c r="J34" s="561"/>
      <c r="K34" s="561"/>
      <c r="L34" s="561"/>
      <c r="M34" s="562">
        <v>175000</v>
      </c>
      <c r="N34" s="562"/>
      <c r="O34" s="52"/>
      <c r="P34" s="48"/>
    </row>
    <row r="35" spans="1:16" ht="8.25" customHeight="1" x14ac:dyDescent="0.35">
      <c r="A35" s="47"/>
      <c r="B35" s="62"/>
      <c r="C35" s="30"/>
      <c r="D35" s="30"/>
      <c r="E35" s="333"/>
      <c r="F35" s="333"/>
      <c r="G35" s="333"/>
      <c r="H35" s="30"/>
      <c r="I35" s="30"/>
      <c r="J35" s="30"/>
      <c r="K35" s="30"/>
      <c r="L35" s="30"/>
      <c r="M35" s="71"/>
      <c r="N35" s="71"/>
      <c r="O35" s="52"/>
      <c r="P35" s="48"/>
    </row>
    <row r="36" spans="1:16" ht="13.5" customHeight="1" x14ac:dyDescent="0.35">
      <c r="A36" s="47"/>
      <c r="B36" s="62"/>
      <c r="C36" s="30" t="s">
        <v>615</v>
      </c>
      <c r="D36" s="30"/>
      <c r="E36" s="562">
        <v>7400</v>
      </c>
      <c r="F36" s="562"/>
      <c r="G36" s="562"/>
      <c r="H36" s="30"/>
      <c r="I36" s="561" t="s">
        <v>614</v>
      </c>
      <c r="J36" s="561"/>
      <c r="K36" s="561"/>
      <c r="L36" s="561"/>
      <c r="M36" s="562">
        <v>224000</v>
      </c>
      <c r="N36" s="562"/>
      <c r="O36" s="52"/>
      <c r="P36" s="48"/>
    </row>
    <row r="37" spans="1:16" ht="5.25" customHeight="1" x14ac:dyDescent="0.35">
      <c r="A37" s="47"/>
      <c r="B37" s="62"/>
      <c r="C37" s="30"/>
      <c r="D37" s="30"/>
      <c r="E37" s="72"/>
      <c r="F37" s="72"/>
      <c r="G37" s="72"/>
      <c r="H37" s="30"/>
      <c r="I37" s="30"/>
      <c r="J37" s="30"/>
      <c r="K37" s="30"/>
      <c r="L37" s="30"/>
      <c r="M37" s="71"/>
      <c r="N37" s="71"/>
      <c r="O37" s="52"/>
      <c r="P37" s="48"/>
    </row>
    <row r="38" spans="1:16" s="28" customFormat="1" ht="4.5" customHeight="1" x14ac:dyDescent="0.3">
      <c r="A38" s="47"/>
      <c r="B38" s="62"/>
      <c r="C38" s="332"/>
      <c r="D38" s="332"/>
      <c r="E38" s="332"/>
      <c r="F38" s="332"/>
      <c r="G38" s="332"/>
      <c r="H38" s="332"/>
      <c r="I38" s="332"/>
      <c r="J38" s="332"/>
      <c r="K38" s="332"/>
      <c r="L38" s="73"/>
      <c r="M38" s="73"/>
      <c r="N38" s="73"/>
      <c r="O38" s="52"/>
      <c r="P38" s="48"/>
    </row>
    <row r="39" spans="1:16" s="61" customFormat="1" ht="20.25" customHeight="1" x14ac:dyDescent="0.25">
      <c r="A39" s="59"/>
      <c r="B39" s="74"/>
      <c r="C39" s="578"/>
      <c r="D39" s="578"/>
      <c r="E39" s="31"/>
      <c r="F39" s="31"/>
      <c r="G39" s="31"/>
      <c r="H39" s="31"/>
      <c r="I39" s="579" t="s">
        <v>616</v>
      </c>
      <c r="J39" s="579"/>
      <c r="K39" s="579"/>
      <c r="L39" s="579"/>
      <c r="M39" s="580">
        <f>M34+E36+M36</f>
        <v>406400</v>
      </c>
      <c r="N39" s="581"/>
      <c r="O39" s="75"/>
      <c r="P39" s="60"/>
    </row>
    <row r="40" spans="1:16" s="28" customFormat="1" ht="0.75" customHeight="1" x14ac:dyDescent="0.3">
      <c r="A40" s="47"/>
      <c r="B40" s="62"/>
      <c r="C40" s="30"/>
      <c r="D40" s="30"/>
      <c r="E40" s="30"/>
      <c r="F40" s="30"/>
      <c r="G40" s="30"/>
      <c r="H40" s="30"/>
      <c r="I40" s="30"/>
      <c r="J40" s="30"/>
      <c r="K40" s="30"/>
      <c r="L40" s="30"/>
      <c r="M40" s="76"/>
      <c r="N40" s="76"/>
      <c r="O40" s="52"/>
      <c r="P40" s="48"/>
    </row>
    <row r="41" spans="1:16" s="28" customFormat="1" ht="3.75" customHeight="1" x14ac:dyDescent="0.3">
      <c r="A41" s="47"/>
      <c r="B41" s="64"/>
      <c r="C41" s="65"/>
      <c r="D41" s="65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56"/>
      <c r="P41" s="48"/>
    </row>
    <row r="42" spans="1:16" s="28" customFormat="1" ht="3.75" customHeight="1" x14ac:dyDescent="0.3">
      <c r="A42" s="47"/>
      <c r="B42" s="40"/>
      <c r="C42" s="30"/>
      <c r="D42" s="30"/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48"/>
    </row>
    <row r="43" spans="1:16" s="28" customFormat="1" ht="15" x14ac:dyDescent="0.3">
      <c r="A43" s="47"/>
      <c r="B43" s="77"/>
      <c r="C43" s="573" t="s">
        <v>636</v>
      </c>
      <c r="D43" s="573"/>
      <c r="E43" s="573"/>
      <c r="F43" s="573"/>
      <c r="G43" s="573"/>
      <c r="H43" s="573"/>
      <c r="I43" s="573"/>
      <c r="J43" s="573"/>
      <c r="K43" s="573"/>
      <c r="L43" s="573"/>
      <c r="M43" s="573"/>
      <c r="N43" s="573"/>
      <c r="O43" s="78"/>
      <c r="P43" s="48"/>
    </row>
    <row r="44" spans="1:16" s="28" customFormat="1" ht="31.5" customHeight="1" x14ac:dyDescent="0.3">
      <c r="A44" s="47"/>
      <c r="B44" s="62"/>
      <c r="C44" s="574"/>
      <c r="D44" s="574"/>
      <c r="E44" s="574"/>
      <c r="F44" s="574"/>
      <c r="G44" s="574"/>
      <c r="H44" s="574"/>
      <c r="I44" s="574"/>
      <c r="J44" s="574"/>
      <c r="K44" s="574"/>
      <c r="L44" s="574"/>
      <c r="M44" s="574"/>
      <c r="N44" s="574"/>
      <c r="O44" s="52"/>
      <c r="P44" s="48"/>
    </row>
    <row r="45" spans="1:16" s="28" customFormat="1" ht="15" x14ac:dyDescent="0.3">
      <c r="A45" s="47"/>
      <c r="B45" s="62"/>
      <c r="C45" s="30"/>
      <c r="D45" s="30"/>
      <c r="E45" s="40" t="s">
        <v>7</v>
      </c>
      <c r="F45" s="63" t="s">
        <v>1222</v>
      </c>
      <c r="G45" s="334"/>
      <c r="H45" s="40" t="s">
        <v>3</v>
      </c>
      <c r="I45" s="63"/>
      <c r="J45" s="334"/>
      <c r="K45" s="30"/>
      <c r="L45" s="30"/>
      <c r="M45" s="30"/>
      <c r="N45" s="30"/>
      <c r="O45" s="52"/>
      <c r="P45" s="48"/>
    </row>
    <row r="46" spans="1:16" s="28" customFormat="1" ht="6" customHeight="1" x14ac:dyDescent="0.3">
      <c r="A46" s="47"/>
      <c r="B46" s="64"/>
      <c r="C46" s="65"/>
      <c r="D46" s="65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56"/>
      <c r="P46" s="48"/>
    </row>
    <row r="47" spans="1:16" s="28" customFormat="1" ht="2.25" customHeight="1" x14ac:dyDescent="0.3">
      <c r="A47" s="47"/>
      <c r="B47" s="40"/>
      <c r="C47" s="30"/>
      <c r="D47" s="30"/>
      <c r="E47" s="30"/>
      <c r="F47" s="30"/>
      <c r="G47" s="30"/>
      <c r="H47" s="30"/>
      <c r="I47" s="30"/>
      <c r="J47" s="30"/>
      <c r="K47" s="30"/>
      <c r="L47" s="30"/>
      <c r="M47" s="30"/>
      <c r="N47" s="30"/>
      <c r="O47" s="30"/>
      <c r="P47" s="48"/>
    </row>
    <row r="48" spans="1:16" s="28" customFormat="1" ht="14.25" customHeight="1" x14ac:dyDescent="0.3">
      <c r="A48" s="47"/>
      <c r="B48" s="79"/>
      <c r="C48" s="582" t="s">
        <v>617</v>
      </c>
      <c r="D48" s="582"/>
      <c r="E48" s="582"/>
      <c r="F48" s="582"/>
      <c r="G48" s="582"/>
      <c r="H48" s="582"/>
      <c r="I48" s="582"/>
      <c r="J48" s="582"/>
      <c r="K48" s="582"/>
      <c r="L48" s="582"/>
      <c r="M48" s="582"/>
      <c r="N48" s="582"/>
      <c r="O48" s="80"/>
      <c r="P48" s="48"/>
    </row>
    <row r="49" spans="1:16" s="28" customFormat="1" ht="3.75" customHeight="1" x14ac:dyDescent="0.3">
      <c r="A49" s="47"/>
      <c r="B49" s="81"/>
      <c r="C49" s="30"/>
      <c r="D49" s="30"/>
      <c r="E49" s="30"/>
      <c r="F49" s="30"/>
      <c r="G49" s="30"/>
      <c r="H49" s="30"/>
      <c r="I49" s="30"/>
      <c r="J49" s="30"/>
      <c r="K49" s="30"/>
      <c r="L49" s="30"/>
      <c r="M49" s="30"/>
      <c r="N49" s="30"/>
      <c r="O49" s="82"/>
      <c r="P49" s="48"/>
    </row>
    <row r="50" spans="1:16" s="28" customFormat="1" ht="13.5" customHeight="1" x14ac:dyDescent="0.3">
      <c r="A50" s="47"/>
      <c r="B50" s="81"/>
      <c r="C50" s="30"/>
      <c r="D50" s="30"/>
      <c r="E50" s="40" t="s">
        <v>7</v>
      </c>
      <c r="F50" s="83"/>
      <c r="G50" s="565" t="s">
        <v>3</v>
      </c>
      <c r="H50" s="566"/>
      <c r="I50" s="83" t="s">
        <v>1222</v>
      </c>
      <c r="J50" s="40" t="s">
        <v>618</v>
      </c>
      <c r="K50" s="567"/>
      <c r="L50" s="567"/>
      <c r="M50" s="567"/>
      <c r="N50" s="567"/>
      <c r="O50" s="82"/>
      <c r="P50" s="48"/>
    </row>
    <row r="51" spans="1:16" s="28" customFormat="1" ht="4.5" customHeight="1" x14ac:dyDescent="0.3">
      <c r="A51" s="47"/>
      <c r="B51" s="84"/>
      <c r="C51" s="85"/>
      <c r="D51" s="85"/>
      <c r="E51" s="86"/>
      <c r="F51" s="85"/>
      <c r="G51" s="86"/>
      <c r="H51" s="86"/>
      <c r="I51" s="85"/>
      <c r="J51" s="85"/>
      <c r="K51" s="85"/>
      <c r="L51" s="85"/>
      <c r="M51" s="85"/>
      <c r="N51" s="85"/>
      <c r="O51" s="87"/>
      <c r="P51" s="48"/>
    </row>
    <row r="52" spans="1:16" s="28" customFormat="1" ht="2.25" customHeight="1" x14ac:dyDescent="0.3">
      <c r="A52" s="47"/>
      <c r="B52" s="40"/>
      <c r="C52" s="30"/>
      <c r="D52" s="30"/>
      <c r="E52" s="30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48"/>
    </row>
    <row r="53" spans="1:16" s="28" customFormat="1" ht="12" customHeight="1" x14ac:dyDescent="0.3">
      <c r="A53" s="47"/>
      <c r="B53" s="77"/>
      <c r="C53" s="573" t="s">
        <v>619</v>
      </c>
      <c r="D53" s="573"/>
      <c r="E53" s="573"/>
      <c r="F53" s="573"/>
      <c r="G53" s="573"/>
      <c r="H53" s="573"/>
      <c r="I53" s="573"/>
      <c r="J53" s="573"/>
      <c r="K53" s="573"/>
      <c r="L53" s="573"/>
      <c r="M53" s="573"/>
      <c r="N53" s="573"/>
      <c r="O53" s="78"/>
      <c r="P53" s="48"/>
    </row>
    <row r="54" spans="1:16" s="28" customFormat="1" ht="1.5" customHeight="1" x14ac:dyDescent="0.3">
      <c r="A54" s="47"/>
      <c r="B54" s="62"/>
      <c r="C54" s="574"/>
      <c r="D54" s="574"/>
      <c r="E54" s="574"/>
      <c r="F54" s="574"/>
      <c r="G54" s="574"/>
      <c r="H54" s="574"/>
      <c r="I54" s="574"/>
      <c r="J54" s="574"/>
      <c r="K54" s="574"/>
      <c r="L54" s="574"/>
      <c r="M54" s="574"/>
      <c r="N54" s="574"/>
      <c r="O54" s="52"/>
      <c r="P54" s="48"/>
    </row>
    <row r="55" spans="1:16" s="28" customFormat="1" ht="15" x14ac:dyDescent="0.3">
      <c r="A55" s="47"/>
      <c r="B55" s="62"/>
      <c r="C55" s="30"/>
      <c r="D55" s="30"/>
      <c r="E55" s="40" t="s">
        <v>7</v>
      </c>
      <c r="F55" s="63"/>
      <c r="G55" s="334"/>
      <c r="H55" s="40" t="s">
        <v>3</v>
      </c>
      <c r="I55" s="63" t="s">
        <v>1222</v>
      </c>
      <c r="J55" s="334"/>
      <c r="K55" s="30"/>
      <c r="L55" s="30"/>
      <c r="M55" s="30"/>
      <c r="N55" s="30"/>
      <c r="O55" s="52"/>
      <c r="P55" s="48"/>
    </row>
    <row r="56" spans="1:16" s="28" customFormat="1" ht="3" customHeight="1" x14ac:dyDescent="0.3">
      <c r="A56" s="47"/>
      <c r="B56" s="64"/>
      <c r="C56" s="65"/>
      <c r="D56" s="65"/>
      <c r="E56" s="66"/>
      <c r="F56" s="66"/>
      <c r="G56" s="66"/>
      <c r="H56" s="66"/>
      <c r="I56" s="65"/>
      <c r="J56" s="65"/>
      <c r="K56" s="65"/>
      <c r="L56" s="65"/>
      <c r="M56" s="65"/>
      <c r="N56" s="65"/>
      <c r="O56" s="56"/>
      <c r="P56" s="48"/>
    </row>
    <row r="57" spans="1:16" s="28" customFormat="1" ht="3" customHeight="1" x14ac:dyDescent="0.3">
      <c r="A57" s="47"/>
      <c r="B57" s="40"/>
      <c r="C57" s="30"/>
      <c r="D57" s="30"/>
      <c r="E57" s="30"/>
      <c r="F57" s="30"/>
      <c r="G57" s="30"/>
      <c r="H57" s="30"/>
      <c r="I57" s="30"/>
      <c r="J57" s="30"/>
      <c r="K57" s="30"/>
      <c r="L57" s="30"/>
      <c r="M57" s="88"/>
      <c r="N57" s="88"/>
      <c r="O57" s="30"/>
      <c r="P57" s="48"/>
    </row>
    <row r="58" spans="1:16" s="28" customFormat="1" ht="15" x14ac:dyDescent="0.3">
      <c r="A58" s="47"/>
      <c r="B58" s="77"/>
      <c r="C58" s="560" t="s">
        <v>620</v>
      </c>
      <c r="D58" s="560"/>
      <c r="E58" s="560"/>
      <c r="F58" s="560"/>
      <c r="G58" s="560"/>
      <c r="H58" s="560"/>
      <c r="I58" s="560"/>
      <c r="J58" s="560"/>
      <c r="K58" s="560"/>
      <c r="L58" s="560"/>
      <c r="M58" s="30"/>
      <c r="N58" s="30"/>
      <c r="O58" s="78"/>
      <c r="P58" s="48"/>
    </row>
    <row r="59" spans="1:16" s="28" customFormat="1" ht="3" customHeight="1" x14ac:dyDescent="0.3">
      <c r="A59" s="47"/>
      <c r="B59" s="62"/>
      <c r="C59" s="332"/>
      <c r="D59" s="332"/>
      <c r="E59" s="332"/>
      <c r="F59" s="332"/>
      <c r="G59" s="332"/>
      <c r="H59" s="332"/>
      <c r="I59" s="332"/>
      <c r="J59" s="332"/>
      <c r="K59" s="332"/>
      <c r="L59" s="332"/>
      <c r="M59" s="89"/>
      <c r="N59" s="89"/>
      <c r="O59" s="52"/>
      <c r="P59" s="48"/>
    </row>
    <row r="60" spans="1:16" s="28" customFormat="1" ht="15" customHeight="1" x14ac:dyDescent="0.3">
      <c r="A60" s="47"/>
      <c r="B60" s="62"/>
      <c r="C60" s="332"/>
      <c r="D60" s="332"/>
      <c r="E60" s="40" t="s">
        <v>7</v>
      </c>
      <c r="F60" s="63"/>
      <c r="G60" s="334"/>
      <c r="H60" s="40" t="s">
        <v>3</v>
      </c>
      <c r="I60" s="63" t="s">
        <v>1222</v>
      </c>
      <c r="J60" s="334"/>
      <c r="K60" s="575">
        <v>0</v>
      </c>
      <c r="L60" s="575"/>
      <c r="M60" s="575"/>
      <c r="N60" s="575"/>
      <c r="O60" s="52"/>
      <c r="P60" s="48"/>
    </row>
    <row r="61" spans="1:16" s="28" customFormat="1" ht="5.25" customHeight="1" x14ac:dyDescent="0.3">
      <c r="A61" s="47"/>
      <c r="B61" s="64"/>
      <c r="C61" s="65"/>
      <c r="D61" s="65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56"/>
      <c r="P61" s="48"/>
    </row>
    <row r="62" spans="1:16" s="28" customFormat="1" ht="3" customHeight="1" x14ac:dyDescent="0.3">
      <c r="A62" s="47"/>
      <c r="B62" s="40"/>
      <c r="C62" s="30"/>
      <c r="D62" s="30"/>
      <c r="E62" s="30"/>
      <c r="F62" s="30"/>
      <c r="G62" s="30"/>
      <c r="H62" s="30"/>
      <c r="I62" s="30"/>
      <c r="J62" s="30"/>
      <c r="K62" s="30"/>
      <c r="L62" s="30"/>
      <c r="M62" s="88"/>
      <c r="N62" s="88"/>
      <c r="O62" s="30"/>
      <c r="P62" s="48"/>
    </row>
    <row r="63" spans="1:16" s="28" customFormat="1" ht="15" x14ac:dyDescent="0.3">
      <c r="A63" s="47"/>
      <c r="B63" s="77"/>
      <c r="C63" s="560" t="s">
        <v>1257</v>
      </c>
      <c r="D63" s="560"/>
      <c r="E63" s="560"/>
      <c r="F63" s="560"/>
      <c r="G63" s="560"/>
      <c r="H63" s="560"/>
      <c r="I63" s="560"/>
      <c r="J63" s="560"/>
      <c r="K63" s="560"/>
      <c r="L63" s="560"/>
      <c r="M63" s="30"/>
      <c r="N63" s="30"/>
      <c r="O63" s="78"/>
      <c r="P63" s="48"/>
    </row>
    <row r="64" spans="1:16" s="28" customFormat="1" ht="3" customHeight="1" x14ac:dyDescent="0.3">
      <c r="A64" s="47"/>
      <c r="B64" s="62"/>
      <c r="C64" s="332"/>
      <c r="D64" s="332"/>
      <c r="E64" s="332"/>
      <c r="F64" s="332"/>
      <c r="G64" s="332"/>
      <c r="H64" s="332"/>
      <c r="I64" s="332"/>
      <c r="J64" s="332"/>
      <c r="K64" s="332"/>
      <c r="L64" s="332"/>
      <c r="M64" s="89"/>
      <c r="N64" s="89"/>
      <c r="O64" s="52"/>
      <c r="P64" s="48"/>
    </row>
    <row r="65" spans="1:16" s="28" customFormat="1" ht="15" customHeight="1" x14ac:dyDescent="0.3">
      <c r="A65" s="47"/>
      <c r="B65" s="62"/>
      <c r="C65" s="332"/>
      <c r="D65" s="332"/>
      <c r="E65" s="40" t="s">
        <v>7</v>
      </c>
      <c r="F65" s="63"/>
      <c r="G65" s="334"/>
      <c r="H65" s="40" t="s">
        <v>3</v>
      </c>
      <c r="I65" s="63" t="s">
        <v>1222</v>
      </c>
      <c r="J65" s="334"/>
      <c r="K65" s="30"/>
      <c r="L65" s="30"/>
      <c r="M65" s="30"/>
      <c r="N65" s="30"/>
      <c r="O65" s="52"/>
      <c r="P65" s="48"/>
    </row>
    <row r="66" spans="1:16" s="28" customFormat="1" ht="5.25" customHeight="1" x14ac:dyDescent="0.3">
      <c r="A66" s="47"/>
      <c r="B66" s="64"/>
      <c r="C66" s="65"/>
      <c r="D66" s="65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56"/>
      <c r="P66" s="48"/>
    </row>
    <row r="67" spans="1:16" s="28" customFormat="1" ht="3.75" customHeight="1" x14ac:dyDescent="0.3">
      <c r="A67" s="47"/>
      <c r="B67" s="40"/>
      <c r="C67" s="30"/>
      <c r="D67" s="30"/>
      <c r="E67" s="30"/>
      <c r="F67" s="30"/>
      <c r="G67" s="30"/>
      <c r="H67" s="30"/>
      <c r="I67" s="30"/>
      <c r="J67" s="30"/>
      <c r="K67" s="30"/>
      <c r="L67" s="30"/>
      <c r="M67" s="30"/>
      <c r="N67" s="30"/>
      <c r="O67" s="30"/>
      <c r="P67" s="48"/>
    </row>
    <row r="68" spans="1:16" s="28" customFormat="1" ht="3" customHeight="1" x14ac:dyDescent="0.3">
      <c r="A68" s="47"/>
      <c r="B68" s="77"/>
      <c r="C68" s="90"/>
      <c r="D68" s="90"/>
      <c r="E68" s="90"/>
      <c r="F68" s="90"/>
      <c r="G68" s="90"/>
      <c r="H68" s="90"/>
      <c r="I68" s="90"/>
      <c r="J68" s="90"/>
      <c r="K68" s="90"/>
      <c r="L68" s="90"/>
      <c r="M68" s="90"/>
      <c r="N68" s="90"/>
      <c r="O68" s="78"/>
      <c r="P68" s="48"/>
    </row>
    <row r="69" spans="1:16" s="28" customFormat="1" ht="18.75" customHeight="1" x14ac:dyDescent="0.3">
      <c r="A69" s="47"/>
      <c r="B69" s="91"/>
      <c r="C69" s="574" t="s">
        <v>1272</v>
      </c>
      <c r="D69" s="574"/>
      <c r="E69" s="574"/>
      <c r="F69" s="574"/>
      <c r="G69" s="574"/>
      <c r="H69" s="574"/>
      <c r="I69" s="574"/>
      <c r="J69" s="574"/>
      <c r="K69" s="574"/>
      <c r="L69" s="574"/>
      <c r="M69" s="574"/>
      <c r="N69" s="574"/>
      <c r="O69" s="576"/>
      <c r="P69" s="48"/>
    </row>
    <row r="70" spans="1:16" s="28" customFormat="1" ht="15" customHeight="1" x14ac:dyDescent="0.3">
      <c r="A70" s="47"/>
      <c r="B70" s="62"/>
      <c r="C70" s="30"/>
      <c r="D70" s="30"/>
      <c r="E70" s="40" t="s">
        <v>7</v>
      </c>
      <c r="F70" s="63"/>
      <c r="G70" s="334"/>
      <c r="H70" s="40" t="s">
        <v>3</v>
      </c>
      <c r="I70" s="63" t="s">
        <v>1222</v>
      </c>
      <c r="J70" s="334"/>
      <c r="K70" s="575">
        <v>0</v>
      </c>
      <c r="L70" s="575"/>
      <c r="M70" s="575"/>
      <c r="N70" s="575"/>
      <c r="O70" s="52"/>
      <c r="P70" s="48"/>
    </row>
    <row r="71" spans="1:16" s="28" customFormat="1" ht="4.5" customHeight="1" x14ac:dyDescent="0.3">
      <c r="A71" s="47"/>
      <c r="B71" s="64"/>
      <c r="C71" s="65"/>
      <c r="D71" s="65"/>
      <c r="E71" s="66"/>
      <c r="F71" s="66"/>
      <c r="G71" s="66"/>
      <c r="H71" s="66"/>
      <c r="I71" s="65"/>
      <c r="J71" s="65"/>
      <c r="K71" s="65"/>
      <c r="L71" s="65"/>
      <c r="M71" s="65"/>
      <c r="N71" s="65"/>
      <c r="O71" s="56"/>
      <c r="P71" s="48"/>
    </row>
    <row r="72" spans="1:16" s="28" customFormat="1" ht="15.75" thickBot="1" x14ac:dyDescent="0.35">
      <c r="A72" s="92"/>
      <c r="B72" s="93"/>
      <c r="C72" s="94"/>
      <c r="D72" s="94"/>
      <c r="E72" s="94"/>
      <c r="F72" s="94"/>
      <c r="G72" s="94"/>
      <c r="H72" s="94"/>
      <c r="I72" s="94"/>
      <c r="J72" s="94"/>
      <c r="K72" s="94"/>
      <c r="L72" s="94"/>
      <c r="M72" s="577"/>
      <c r="N72" s="577"/>
      <c r="O72" s="94"/>
      <c r="P72" s="95"/>
    </row>
    <row r="73" spans="1:16" s="28" customFormat="1" ht="26.25" customHeight="1" thickTop="1" thickBot="1" x14ac:dyDescent="0.35">
      <c r="A73" s="30"/>
      <c r="B73" s="40"/>
      <c r="C73" s="30"/>
      <c r="D73" s="30"/>
      <c r="E73" s="30"/>
      <c r="F73" s="30"/>
      <c r="G73" s="30"/>
      <c r="H73" s="30"/>
      <c r="I73" s="30"/>
      <c r="J73" s="30"/>
      <c r="K73" s="30"/>
      <c r="L73" s="30"/>
      <c r="M73" s="96"/>
      <c r="N73" s="96"/>
      <c r="O73" s="30"/>
      <c r="P73" s="30"/>
    </row>
    <row r="74" spans="1:16" s="28" customFormat="1" ht="4.5" customHeight="1" thickTop="1" x14ac:dyDescent="0.3">
      <c r="A74" s="97"/>
      <c r="B74" s="98"/>
      <c r="C74" s="99"/>
      <c r="D74" s="99"/>
      <c r="E74" s="99"/>
      <c r="F74" s="99"/>
      <c r="G74" s="99"/>
      <c r="H74" s="99"/>
      <c r="I74" s="99"/>
      <c r="J74" s="99"/>
      <c r="K74" s="99"/>
      <c r="L74" s="99"/>
      <c r="M74" s="100"/>
      <c r="N74" s="100"/>
      <c r="O74" s="99"/>
      <c r="P74" s="101"/>
    </row>
    <row r="75" spans="1:16" s="28" customFormat="1" ht="3" customHeight="1" x14ac:dyDescent="0.3">
      <c r="A75" s="47"/>
      <c r="B75" s="40"/>
      <c r="C75" s="30"/>
      <c r="D75" s="30"/>
      <c r="E75" s="30"/>
      <c r="F75" s="30"/>
      <c r="G75" s="30"/>
      <c r="H75" s="30"/>
      <c r="I75" s="30"/>
      <c r="J75" s="30"/>
      <c r="K75" s="30"/>
      <c r="L75" s="30"/>
      <c r="M75" s="96"/>
      <c r="N75" s="96"/>
      <c r="O75" s="30"/>
      <c r="P75" s="48"/>
    </row>
    <row r="76" spans="1:16" s="28" customFormat="1" ht="15.75" customHeight="1" x14ac:dyDescent="0.3">
      <c r="A76" s="47"/>
      <c r="B76" s="563" t="s">
        <v>490</v>
      </c>
      <c r="C76" s="564"/>
      <c r="D76" s="564"/>
      <c r="E76" s="564"/>
      <c r="F76" s="572">
        <f>G9</f>
        <v>0</v>
      </c>
      <c r="G76" s="572"/>
      <c r="H76" s="572"/>
      <c r="I76" s="572"/>
      <c r="J76" s="572"/>
      <c r="K76" s="572"/>
      <c r="L76" s="90"/>
      <c r="M76" s="90"/>
      <c r="N76" s="90"/>
      <c r="O76" s="78"/>
      <c r="P76" s="48"/>
    </row>
    <row r="77" spans="1:16" s="28" customFormat="1" ht="3" customHeight="1" x14ac:dyDescent="0.3">
      <c r="A77" s="47"/>
      <c r="B77" s="335"/>
      <c r="C77" s="336"/>
      <c r="D77" s="336"/>
      <c r="E77" s="336"/>
      <c r="F77" s="30"/>
      <c r="G77" s="30"/>
      <c r="H77" s="30"/>
      <c r="I77" s="30"/>
      <c r="J77" s="30"/>
      <c r="K77" s="30"/>
      <c r="L77" s="30"/>
      <c r="M77" s="30"/>
      <c r="N77" s="30"/>
      <c r="O77" s="52"/>
      <c r="P77" s="48"/>
    </row>
    <row r="78" spans="1:16" s="28" customFormat="1" ht="30.75" customHeight="1" x14ac:dyDescent="0.3">
      <c r="A78" s="47"/>
      <c r="B78" s="335"/>
      <c r="C78" s="569" t="s">
        <v>621</v>
      </c>
      <c r="D78" s="569"/>
      <c r="E78" s="569"/>
      <c r="F78" s="567"/>
      <c r="G78" s="567"/>
      <c r="H78" s="567"/>
      <c r="I78" s="567"/>
      <c r="J78" s="567"/>
      <c r="K78" s="567"/>
      <c r="L78" s="30"/>
      <c r="M78" s="30"/>
      <c r="N78" s="30"/>
      <c r="O78" s="52"/>
      <c r="P78" s="48"/>
    </row>
    <row r="79" spans="1:16" s="28" customFormat="1" ht="5.25" customHeight="1" x14ac:dyDescent="0.3">
      <c r="A79" s="47"/>
      <c r="B79" s="64"/>
      <c r="C79" s="65"/>
      <c r="D79" s="65"/>
      <c r="E79" s="65"/>
      <c r="F79" s="65"/>
      <c r="G79" s="65"/>
      <c r="H79" s="65"/>
      <c r="I79" s="65"/>
      <c r="J79" s="65"/>
      <c r="K79" s="65"/>
      <c r="L79" s="65"/>
      <c r="M79" s="65"/>
      <c r="N79" s="65"/>
      <c r="O79" s="56"/>
      <c r="P79" s="48"/>
    </row>
    <row r="80" spans="1:16" s="28" customFormat="1" ht="15.75" thickBot="1" x14ac:dyDescent="0.35">
      <c r="A80" s="92"/>
      <c r="B80" s="93"/>
      <c r="C80" s="94"/>
      <c r="D80" s="94"/>
      <c r="E80" s="94"/>
      <c r="F80" s="94"/>
      <c r="G80" s="94"/>
      <c r="H80" s="94"/>
      <c r="I80" s="94"/>
      <c r="J80" s="94"/>
      <c r="K80" s="94"/>
      <c r="L80" s="94"/>
      <c r="M80" s="94"/>
      <c r="N80" s="94"/>
      <c r="O80" s="94"/>
      <c r="P80" s="95"/>
    </row>
    <row r="81" spans="1:16" s="28" customFormat="1" ht="15.75" thickTop="1" x14ac:dyDescent="0.3">
      <c r="B81" s="102"/>
    </row>
    <row r="82" spans="1:16" s="28" customFormat="1" ht="15" hidden="1" x14ac:dyDescent="0.3">
      <c r="B82" s="102"/>
      <c r="C82" s="103">
        <v>42370</v>
      </c>
      <c r="E82" s="28" t="s">
        <v>635</v>
      </c>
      <c r="K82" s="28" t="s">
        <v>622</v>
      </c>
    </row>
    <row r="83" spans="1:16" s="28" customFormat="1" ht="15" hidden="1" x14ac:dyDescent="0.3">
      <c r="B83" s="102"/>
      <c r="C83" s="103">
        <v>42371</v>
      </c>
      <c r="E83" s="28" t="s">
        <v>553</v>
      </c>
      <c r="K83" s="28" t="s">
        <v>623</v>
      </c>
    </row>
    <row r="84" spans="1:16" s="28" customFormat="1" ht="15" hidden="1" x14ac:dyDescent="0.3">
      <c r="B84" s="102"/>
      <c r="C84" s="103">
        <v>42372</v>
      </c>
      <c r="E84" s="28" t="s">
        <v>554</v>
      </c>
      <c r="K84" s="28" t="s">
        <v>624</v>
      </c>
    </row>
    <row r="85" spans="1:16" s="28" customFormat="1" ht="15" hidden="1" x14ac:dyDescent="0.3">
      <c r="B85" s="102"/>
      <c r="C85" s="103">
        <v>42373</v>
      </c>
      <c r="K85" s="28" t="s">
        <v>625</v>
      </c>
    </row>
    <row r="86" spans="1:16" s="28" customFormat="1" ht="15" hidden="1" x14ac:dyDescent="0.3">
      <c r="B86" s="102"/>
      <c r="C86" s="103">
        <v>42374</v>
      </c>
      <c r="K86" s="28" t="s">
        <v>626</v>
      </c>
    </row>
    <row r="87" spans="1:16" s="28" customFormat="1" ht="15" hidden="1" x14ac:dyDescent="0.3">
      <c r="B87" s="102"/>
      <c r="C87" s="103">
        <v>42375</v>
      </c>
      <c r="K87" s="28" t="s">
        <v>627</v>
      </c>
    </row>
    <row r="88" spans="1:16" s="28" customFormat="1" ht="15" hidden="1" x14ac:dyDescent="0.3">
      <c r="B88" s="102"/>
      <c r="C88" s="103">
        <v>42376</v>
      </c>
      <c r="K88" s="28" t="s">
        <v>628</v>
      </c>
    </row>
    <row r="89" spans="1:16" s="28" customFormat="1" ht="15" hidden="1" x14ac:dyDescent="0.3">
      <c r="B89" s="102"/>
      <c r="C89" s="103">
        <v>42377</v>
      </c>
      <c r="K89" s="28" t="s">
        <v>629</v>
      </c>
    </row>
    <row r="90" spans="1:16" s="28" customFormat="1" ht="15" hidden="1" x14ac:dyDescent="0.3">
      <c r="B90" s="102"/>
      <c r="C90" s="103">
        <v>42378</v>
      </c>
      <c r="K90" s="28" t="s">
        <v>630</v>
      </c>
    </row>
    <row r="91" spans="1:16" s="28" customFormat="1" hidden="1" x14ac:dyDescent="0.35">
      <c r="A91" s="1"/>
      <c r="B91" s="1"/>
      <c r="C91" s="103">
        <v>42379</v>
      </c>
      <c r="K91" s="28" t="s">
        <v>631</v>
      </c>
      <c r="L91" s="1"/>
      <c r="M91" s="1"/>
      <c r="N91" s="1"/>
      <c r="O91" s="1"/>
      <c r="P91" s="1"/>
    </row>
    <row r="92" spans="1:16" s="28" customFormat="1" hidden="1" x14ac:dyDescent="0.35">
      <c r="A92" s="1"/>
      <c r="B92" s="1"/>
      <c r="C92" s="103">
        <v>42380</v>
      </c>
      <c r="K92" s="28" t="s">
        <v>632</v>
      </c>
      <c r="L92" s="1"/>
      <c r="M92" s="1"/>
      <c r="N92" s="1"/>
      <c r="O92" s="1"/>
      <c r="P92" s="1"/>
    </row>
    <row r="93" spans="1:16" s="28" customFormat="1" hidden="1" x14ac:dyDescent="0.35">
      <c r="A93" s="1"/>
      <c r="B93" s="1"/>
      <c r="C93" s="103">
        <v>42381</v>
      </c>
      <c r="K93" s="28" t="s">
        <v>633</v>
      </c>
      <c r="L93" s="1"/>
      <c r="M93" s="1"/>
      <c r="N93" s="1"/>
      <c r="O93" s="1"/>
      <c r="P93" s="1"/>
    </row>
    <row r="94" spans="1:16" s="28" customFormat="1" hidden="1" x14ac:dyDescent="0.35">
      <c r="A94" s="1"/>
      <c r="B94" s="1"/>
      <c r="C94" s="103">
        <v>42382</v>
      </c>
      <c r="K94" s="28" t="s">
        <v>634</v>
      </c>
      <c r="L94" s="1"/>
      <c r="M94" s="1"/>
      <c r="N94" s="1"/>
      <c r="O94" s="1"/>
      <c r="P94" s="1"/>
    </row>
    <row r="95" spans="1:16" s="28" customFormat="1" hidden="1" x14ac:dyDescent="0.35">
      <c r="A95" s="1"/>
      <c r="B95" s="1"/>
      <c r="C95" s="103">
        <v>42383</v>
      </c>
      <c r="L95" s="1"/>
      <c r="M95" s="1"/>
      <c r="N95" s="1"/>
      <c r="O95" s="1"/>
      <c r="P95" s="1"/>
    </row>
    <row r="96" spans="1:16" s="28" customFormat="1" ht="20.25" hidden="1" customHeight="1" x14ac:dyDescent="0.35">
      <c r="A96" s="1"/>
      <c r="B96" s="1"/>
      <c r="C96" s="103">
        <v>42384</v>
      </c>
      <c r="L96" s="1"/>
      <c r="M96" s="1"/>
      <c r="N96" s="1"/>
      <c r="O96" s="1"/>
      <c r="P96" s="1"/>
    </row>
    <row r="97" spans="1:16" s="28" customFormat="1" ht="50.25" hidden="1" customHeight="1" x14ac:dyDescent="0.35">
      <c r="A97" s="1"/>
      <c r="B97" s="1"/>
      <c r="C97" s="103">
        <v>42385</v>
      </c>
      <c r="L97" s="1"/>
      <c r="M97" s="1"/>
      <c r="N97" s="1"/>
      <c r="O97" s="1"/>
      <c r="P97" s="1"/>
    </row>
    <row r="98" spans="1:16" s="28" customFormat="1" hidden="1" x14ac:dyDescent="0.35">
      <c r="A98" s="1"/>
      <c r="B98" s="1"/>
      <c r="C98" s="103">
        <v>42386</v>
      </c>
      <c r="L98" s="1"/>
      <c r="M98" s="1"/>
      <c r="N98" s="1"/>
      <c r="O98" s="1"/>
      <c r="P98" s="1"/>
    </row>
    <row r="99" spans="1:16" s="28" customFormat="1" hidden="1" x14ac:dyDescent="0.35">
      <c r="A99" s="1"/>
      <c r="B99" s="1"/>
      <c r="C99" s="103">
        <v>42387</v>
      </c>
      <c r="L99" s="1"/>
      <c r="M99" s="1"/>
      <c r="N99" s="1"/>
      <c r="O99" s="1"/>
      <c r="P99" s="1"/>
    </row>
    <row r="100" spans="1:16" s="28" customFormat="1" hidden="1" x14ac:dyDescent="0.35">
      <c r="A100" s="1"/>
      <c r="B100" s="1"/>
      <c r="C100" s="103">
        <v>42388</v>
      </c>
      <c r="L100" s="1"/>
      <c r="M100" s="1"/>
      <c r="N100" s="1"/>
      <c r="O100" s="1"/>
      <c r="P100" s="1"/>
    </row>
    <row r="101" spans="1:16" s="28" customFormat="1" hidden="1" x14ac:dyDescent="0.35">
      <c r="A101" s="1"/>
      <c r="B101" s="1"/>
      <c r="C101" s="103">
        <v>42389</v>
      </c>
      <c r="L101" s="1"/>
      <c r="M101" s="1"/>
      <c r="N101" s="1"/>
      <c r="O101" s="1"/>
      <c r="P101" s="1"/>
    </row>
    <row r="102" spans="1:16" s="28" customFormat="1" hidden="1" x14ac:dyDescent="0.35">
      <c r="A102" s="1"/>
      <c r="B102" s="1"/>
      <c r="C102" s="103">
        <v>42390</v>
      </c>
      <c r="L102" s="1"/>
      <c r="M102" s="1"/>
      <c r="N102" s="1"/>
      <c r="O102" s="1"/>
      <c r="P102" s="1"/>
    </row>
    <row r="103" spans="1:16" s="28" customFormat="1" hidden="1" x14ac:dyDescent="0.35">
      <c r="A103" s="1"/>
      <c r="B103" s="1"/>
      <c r="C103" s="103">
        <v>42391</v>
      </c>
      <c r="L103" s="1"/>
      <c r="M103" s="1"/>
      <c r="N103" s="1"/>
      <c r="O103" s="1"/>
      <c r="P103" s="1"/>
    </row>
    <row r="104" spans="1:16" s="28" customFormat="1" hidden="1" x14ac:dyDescent="0.35">
      <c r="A104" s="1"/>
      <c r="B104" s="1"/>
      <c r="C104" s="103">
        <v>42392</v>
      </c>
      <c r="L104" s="1"/>
      <c r="M104" s="1"/>
      <c r="N104" s="1"/>
      <c r="O104" s="1"/>
      <c r="P104" s="1"/>
    </row>
    <row r="105" spans="1:16" s="28" customFormat="1" hidden="1" x14ac:dyDescent="0.35">
      <c r="A105" s="1"/>
      <c r="B105" s="1"/>
      <c r="C105" s="103">
        <v>42393</v>
      </c>
      <c r="L105" s="1"/>
      <c r="M105" s="1"/>
      <c r="N105" s="1"/>
      <c r="O105" s="1"/>
      <c r="P105" s="1"/>
    </row>
    <row r="106" spans="1:16" s="28" customFormat="1" hidden="1" x14ac:dyDescent="0.35">
      <c r="A106" s="1"/>
      <c r="B106" s="1"/>
      <c r="C106" s="103">
        <v>42394</v>
      </c>
      <c r="L106" s="1"/>
      <c r="M106" s="1"/>
      <c r="N106" s="1"/>
      <c r="O106" s="1"/>
      <c r="P106" s="1"/>
    </row>
    <row r="107" spans="1:16" s="28" customFormat="1" hidden="1" x14ac:dyDescent="0.35">
      <c r="A107" s="1"/>
      <c r="B107" s="1"/>
      <c r="C107" s="103">
        <v>42395</v>
      </c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</row>
    <row r="108" spans="1:16" s="28" customFormat="1" hidden="1" x14ac:dyDescent="0.35">
      <c r="A108" s="1"/>
      <c r="B108" s="1"/>
      <c r="C108" s="103">
        <v>42396</v>
      </c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</row>
    <row r="109" spans="1:16" s="28" customFormat="1" hidden="1" x14ac:dyDescent="0.35">
      <c r="A109" s="1"/>
      <c r="B109" s="1"/>
      <c r="C109" s="103">
        <v>42397</v>
      </c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</row>
    <row r="110" spans="1:16" s="28" customFormat="1" hidden="1" x14ac:dyDescent="0.35">
      <c r="A110" s="1"/>
      <c r="B110" s="1"/>
      <c r="C110" s="103">
        <v>42398</v>
      </c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</row>
    <row r="111" spans="1:16" s="28" customFormat="1" hidden="1" x14ac:dyDescent="0.35">
      <c r="A111" s="1"/>
      <c r="B111" s="1"/>
      <c r="C111" s="103">
        <v>42399</v>
      </c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</row>
    <row r="112" spans="1:16" s="28" customFormat="1" hidden="1" x14ac:dyDescent="0.35">
      <c r="A112" s="1"/>
      <c r="B112" s="1"/>
      <c r="C112" s="103">
        <v>42400</v>
      </c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</row>
    <row r="113" spans="1:16" s="28" customFormat="1" hidden="1" x14ac:dyDescent="0.35">
      <c r="A113" s="1"/>
      <c r="B113" s="1"/>
      <c r="C113" s="103">
        <v>42401</v>
      </c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</row>
    <row r="114" spans="1:16" s="28" customFormat="1" hidden="1" x14ac:dyDescent="0.35">
      <c r="A114" s="1"/>
      <c r="B114" s="1"/>
      <c r="C114" s="103">
        <v>42402</v>
      </c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</row>
    <row r="115" spans="1:16" s="28" customFormat="1" hidden="1" x14ac:dyDescent="0.35">
      <c r="A115" s="1"/>
      <c r="B115" s="1"/>
      <c r="C115" s="103">
        <v>42403</v>
      </c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</row>
    <row r="116" spans="1:16" s="28" customFormat="1" hidden="1" x14ac:dyDescent="0.35">
      <c r="A116" s="1"/>
      <c r="B116" s="1"/>
      <c r="C116" s="103">
        <v>42404</v>
      </c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</row>
    <row r="117" spans="1:16" s="28" customFormat="1" hidden="1" x14ac:dyDescent="0.35">
      <c r="A117" s="1"/>
      <c r="B117" s="1"/>
      <c r="C117" s="103">
        <v>42405</v>
      </c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</row>
    <row r="118" spans="1:16" s="28" customFormat="1" hidden="1" x14ac:dyDescent="0.35">
      <c r="A118" s="1"/>
      <c r="B118" s="1"/>
      <c r="C118" s="103">
        <v>42406</v>
      </c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</row>
    <row r="119" spans="1:16" s="28" customFormat="1" hidden="1" x14ac:dyDescent="0.35">
      <c r="A119" s="1"/>
      <c r="B119" s="1"/>
      <c r="C119" s="103">
        <v>42407</v>
      </c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</row>
    <row r="120" spans="1:16" s="28" customFormat="1" hidden="1" x14ac:dyDescent="0.35">
      <c r="A120" s="1"/>
      <c r="B120" s="1"/>
      <c r="C120" s="103">
        <v>42408</v>
      </c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</row>
    <row r="121" spans="1:16" s="28" customFormat="1" hidden="1" x14ac:dyDescent="0.35">
      <c r="A121" s="1"/>
      <c r="B121" s="1"/>
      <c r="C121" s="103">
        <v>42409</v>
      </c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</row>
    <row r="122" spans="1:16" s="28" customFormat="1" hidden="1" x14ac:dyDescent="0.35">
      <c r="A122" s="1"/>
      <c r="B122" s="1"/>
      <c r="C122" s="103">
        <v>42410</v>
      </c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</row>
    <row r="123" spans="1:16" s="28" customFormat="1" hidden="1" x14ac:dyDescent="0.35">
      <c r="A123" s="1"/>
      <c r="B123" s="1"/>
      <c r="C123" s="103">
        <v>42411</v>
      </c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</row>
    <row r="124" spans="1:16" s="28" customFormat="1" hidden="1" x14ac:dyDescent="0.35">
      <c r="A124" s="1"/>
      <c r="B124" s="1"/>
      <c r="C124" s="103">
        <v>42412</v>
      </c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</row>
    <row r="125" spans="1:16" s="28" customFormat="1" hidden="1" x14ac:dyDescent="0.35">
      <c r="A125" s="1"/>
      <c r="B125" s="1"/>
      <c r="C125" s="103">
        <v>42413</v>
      </c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</row>
    <row r="126" spans="1:16" s="28" customFormat="1" hidden="1" x14ac:dyDescent="0.35">
      <c r="A126" s="1"/>
      <c r="B126" s="1"/>
      <c r="C126" s="103">
        <v>42414</v>
      </c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</row>
    <row r="127" spans="1:16" s="28" customFormat="1" hidden="1" x14ac:dyDescent="0.35">
      <c r="A127" s="1"/>
      <c r="B127" s="1"/>
      <c r="C127" s="103">
        <v>42415</v>
      </c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</row>
    <row r="128" spans="1:16" s="28" customFormat="1" hidden="1" x14ac:dyDescent="0.35">
      <c r="A128" s="1"/>
      <c r="B128" s="1"/>
      <c r="C128" s="103">
        <v>42416</v>
      </c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</row>
    <row r="129" spans="1:16" s="28" customFormat="1" hidden="1" x14ac:dyDescent="0.35">
      <c r="A129" s="1"/>
      <c r="B129" s="1"/>
      <c r="C129" s="103">
        <v>42417</v>
      </c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</row>
    <row r="130" spans="1:16" s="28" customFormat="1" hidden="1" x14ac:dyDescent="0.35">
      <c r="A130" s="1"/>
      <c r="B130" s="1"/>
      <c r="C130" s="103">
        <v>42418</v>
      </c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</row>
    <row r="131" spans="1:16" s="28" customFormat="1" hidden="1" x14ac:dyDescent="0.35">
      <c r="A131" s="1"/>
      <c r="B131" s="1"/>
      <c r="C131" s="103">
        <v>42419</v>
      </c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</row>
    <row r="132" spans="1:16" s="28" customFormat="1" hidden="1" x14ac:dyDescent="0.35">
      <c r="A132" s="1"/>
      <c r="B132" s="1"/>
      <c r="C132" s="103">
        <v>42420</v>
      </c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</row>
    <row r="133" spans="1:16" s="28" customFormat="1" hidden="1" x14ac:dyDescent="0.35">
      <c r="A133" s="1"/>
      <c r="B133" s="1"/>
      <c r="C133" s="103">
        <v>42421</v>
      </c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</row>
    <row r="134" spans="1:16" s="28" customFormat="1" hidden="1" x14ac:dyDescent="0.35">
      <c r="A134" s="1"/>
      <c r="B134" s="1"/>
      <c r="C134" s="103">
        <v>42422</v>
      </c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</row>
    <row r="135" spans="1:16" s="28" customFormat="1" hidden="1" x14ac:dyDescent="0.35">
      <c r="A135" s="1"/>
      <c r="B135" s="1"/>
      <c r="C135" s="103">
        <v>42423</v>
      </c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</row>
    <row r="136" spans="1:16" s="28" customFormat="1" hidden="1" x14ac:dyDescent="0.35">
      <c r="A136" s="1"/>
      <c r="B136" s="1"/>
      <c r="C136" s="103">
        <v>42424</v>
      </c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</row>
    <row r="137" spans="1:16" s="28" customFormat="1" hidden="1" x14ac:dyDescent="0.35">
      <c r="A137" s="1"/>
      <c r="B137" s="1"/>
      <c r="C137" s="103">
        <v>42425</v>
      </c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</row>
    <row r="138" spans="1:16" s="28" customFormat="1" hidden="1" x14ac:dyDescent="0.35">
      <c r="A138" s="1"/>
      <c r="B138" s="1"/>
      <c r="C138" s="103">
        <v>42426</v>
      </c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</row>
    <row r="139" spans="1:16" s="28" customFormat="1" hidden="1" x14ac:dyDescent="0.35">
      <c r="A139" s="1"/>
      <c r="B139" s="1"/>
      <c r="C139" s="103">
        <v>42427</v>
      </c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</row>
    <row r="140" spans="1:16" s="28" customFormat="1" hidden="1" x14ac:dyDescent="0.35">
      <c r="A140" s="1"/>
      <c r="B140" s="1"/>
      <c r="C140" s="103">
        <v>42428</v>
      </c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</row>
    <row r="141" spans="1:16" s="28" customFormat="1" hidden="1" x14ac:dyDescent="0.35">
      <c r="A141" s="1"/>
      <c r="B141" s="1"/>
      <c r="C141" s="103">
        <v>42429</v>
      </c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</row>
    <row r="142" spans="1:16" s="28" customFormat="1" hidden="1" x14ac:dyDescent="0.35">
      <c r="A142" s="1"/>
      <c r="B142" s="1"/>
      <c r="C142" s="103">
        <v>42430</v>
      </c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</row>
    <row r="143" spans="1:16" s="28" customFormat="1" hidden="1" x14ac:dyDescent="0.35">
      <c r="A143" s="1"/>
      <c r="B143" s="1"/>
      <c r="C143" s="103">
        <v>42431</v>
      </c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</row>
    <row r="144" spans="1:16" s="28" customFormat="1" hidden="1" x14ac:dyDescent="0.35">
      <c r="A144" s="1"/>
      <c r="B144" s="1"/>
      <c r="C144" s="103">
        <v>42432</v>
      </c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</row>
    <row r="145" spans="1:16" s="28" customFormat="1" hidden="1" x14ac:dyDescent="0.35">
      <c r="A145" s="1"/>
      <c r="B145" s="1"/>
      <c r="C145" s="103">
        <v>42433</v>
      </c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</row>
    <row r="146" spans="1:16" s="28" customFormat="1" hidden="1" x14ac:dyDescent="0.35">
      <c r="A146" s="1"/>
      <c r="B146" s="1"/>
      <c r="C146" s="103">
        <v>42434</v>
      </c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</row>
    <row r="147" spans="1:16" s="28" customFormat="1" hidden="1" x14ac:dyDescent="0.35">
      <c r="A147" s="1"/>
      <c r="B147" s="1"/>
      <c r="C147" s="103">
        <v>42435</v>
      </c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</row>
    <row r="148" spans="1:16" s="28" customFormat="1" hidden="1" x14ac:dyDescent="0.35">
      <c r="A148" s="1"/>
      <c r="B148" s="1"/>
      <c r="C148" s="103">
        <v>42436</v>
      </c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</row>
    <row r="149" spans="1:16" s="28" customFormat="1" hidden="1" x14ac:dyDescent="0.35">
      <c r="A149" s="1"/>
      <c r="B149" s="1"/>
      <c r="C149" s="103">
        <v>42437</v>
      </c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</row>
    <row r="150" spans="1:16" s="28" customFormat="1" hidden="1" x14ac:dyDescent="0.35">
      <c r="A150" s="1"/>
      <c r="B150" s="1"/>
      <c r="C150" s="103">
        <v>42438</v>
      </c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</row>
    <row r="151" spans="1:16" s="28" customFormat="1" hidden="1" x14ac:dyDescent="0.35">
      <c r="A151" s="1"/>
      <c r="B151" s="1"/>
      <c r="C151" s="103">
        <v>42439</v>
      </c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</row>
    <row r="152" spans="1:16" s="28" customFormat="1" hidden="1" x14ac:dyDescent="0.35">
      <c r="A152" s="1"/>
      <c r="B152" s="1"/>
      <c r="C152" s="103">
        <v>42440</v>
      </c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</row>
    <row r="153" spans="1:16" s="28" customFormat="1" hidden="1" x14ac:dyDescent="0.35">
      <c r="A153" s="1"/>
      <c r="B153" s="1"/>
      <c r="C153" s="103">
        <v>42441</v>
      </c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</row>
    <row r="154" spans="1:16" s="28" customFormat="1" hidden="1" x14ac:dyDescent="0.35">
      <c r="A154" s="1"/>
      <c r="B154" s="1"/>
      <c r="C154" s="103">
        <v>42442</v>
      </c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</row>
    <row r="155" spans="1:16" s="28" customFormat="1" hidden="1" x14ac:dyDescent="0.35">
      <c r="A155" s="1"/>
      <c r="B155" s="1"/>
      <c r="C155" s="103">
        <v>42443</v>
      </c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</row>
    <row r="156" spans="1:16" s="28" customFormat="1" hidden="1" x14ac:dyDescent="0.35">
      <c r="A156" s="1"/>
      <c r="B156" s="1"/>
      <c r="C156" s="103">
        <v>42444</v>
      </c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</row>
    <row r="157" spans="1:16" s="28" customFormat="1" hidden="1" x14ac:dyDescent="0.35">
      <c r="A157" s="1"/>
      <c r="B157" s="1"/>
      <c r="C157" s="103">
        <v>42445</v>
      </c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</row>
    <row r="158" spans="1:16" s="28" customFormat="1" hidden="1" x14ac:dyDescent="0.35">
      <c r="A158" s="1"/>
      <c r="B158" s="1"/>
      <c r="C158" s="103">
        <v>42446</v>
      </c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</row>
    <row r="159" spans="1:16" s="28" customFormat="1" hidden="1" x14ac:dyDescent="0.35">
      <c r="A159" s="1"/>
      <c r="B159" s="1"/>
      <c r="C159" s="103">
        <v>42447</v>
      </c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</row>
    <row r="160" spans="1:16" s="28" customFormat="1" hidden="1" x14ac:dyDescent="0.35">
      <c r="A160" s="1"/>
      <c r="B160" s="1"/>
      <c r="C160" s="103">
        <v>42448</v>
      </c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</row>
    <row r="161" spans="1:16" s="28" customFormat="1" hidden="1" x14ac:dyDescent="0.35">
      <c r="A161" s="1"/>
      <c r="B161" s="1"/>
      <c r="C161" s="103">
        <v>42449</v>
      </c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</row>
    <row r="162" spans="1:16" s="28" customFormat="1" hidden="1" x14ac:dyDescent="0.35">
      <c r="A162" s="1"/>
      <c r="B162" s="1"/>
      <c r="C162" s="103">
        <v>42450</v>
      </c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</row>
    <row r="163" spans="1:16" s="28" customFormat="1" hidden="1" x14ac:dyDescent="0.35">
      <c r="A163" s="1"/>
      <c r="B163" s="1"/>
      <c r="C163" s="103">
        <v>42451</v>
      </c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</row>
    <row r="164" spans="1:16" s="28" customFormat="1" hidden="1" x14ac:dyDescent="0.35">
      <c r="A164" s="1"/>
      <c r="B164" s="1"/>
      <c r="C164" s="103">
        <v>42452</v>
      </c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</row>
    <row r="165" spans="1:16" s="28" customFormat="1" hidden="1" x14ac:dyDescent="0.35">
      <c r="A165" s="1"/>
      <c r="B165" s="1"/>
      <c r="C165" s="103">
        <v>42453</v>
      </c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</row>
    <row r="166" spans="1:16" s="28" customFormat="1" hidden="1" x14ac:dyDescent="0.35">
      <c r="A166" s="1"/>
      <c r="B166" s="1"/>
      <c r="C166" s="103">
        <v>42454</v>
      </c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</row>
    <row r="167" spans="1:16" s="28" customFormat="1" hidden="1" x14ac:dyDescent="0.35">
      <c r="A167" s="1"/>
      <c r="B167" s="1"/>
      <c r="C167" s="103">
        <v>42455</v>
      </c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</row>
    <row r="168" spans="1:16" s="28" customFormat="1" hidden="1" x14ac:dyDescent="0.35">
      <c r="A168" s="1"/>
      <c r="B168" s="1"/>
      <c r="C168" s="103">
        <v>42456</v>
      </c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</row>
    <row r="169" spans="1:16" s="28" customFormat="1" hidden="1" x14ac:dyDescent="0.35">
      <c r="A169" s="1"/>
      <c r="B169" s="1"/>
      <c r="C169" s="103">
        <v>42457</v>
      </c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</row>
    <row r="170" spans="1:16" s="28" customFormat="1" hidden="1" x14ac:dyDescent="0.35">
      <c r="A170" s="1"/>
      <c r="B170" s="1"/>
      <c r="C170" s="103">
        <v>42458</v>
      </c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</row>
    <row r="171" spans="1:16" s="28" customFormat="1" hidden="1" x14ac:dyDescent="0.35">
      <c r="A171" s="1"/>
      <c r="B171" s="1"/>
      <c r="C171" s="103">
        <v>42459</v>
      </c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</row>
    <row r="172" spans="1:16" s="28" customFormat="1" hidden="1" x14ac:dyDescent="0.35">
      <c r="A172" s="1"/>
      <c r="B172" s="1"/>
      <c r="C172" s="103">
        <v>42460</v>
      </c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</row>
    <row r="173" spans="1:16" s="28" customFormat="1" hidden="1" x14ac:dyDescent="0.35">
      <c r="A173" s="1"/>
      <c r="B173" s="1"/>
      <c r="C173" s="103">
        <v>42461</v>
      </c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</row>
    <row r="174" spans="1:16" s="28" customFormat="1" hidden="1" x14ac:dyDescent="0.35">
      <c r="A174" s="1"/>
      <c r="B174" s="1"/>
      <c r="C174" s="103">
        <v>42462</v>
      </c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</row>
    <row r="175" spans="1:16" s="28" customFormat="1" hidden="1" x14ac:dyDescent="0.35">
      <c r="A175" s="1"/>
      <c r="B175" s="1"/>
      <c r="C175" s="103">
        <v>42463</v>
      </c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</row>
    <row r="176" spans="1:16" s="28" customFormat="1" hidden="1" x14ac:dyDescent="0.35">
      <c r="A176" s="1"/>
      <c r="B176" s="1"/>
      <c r="C176" s="103">
        <v>42464</v>
      </c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</row>
    <row r="177" spans="1:16" s="28" customFormat="1" hidden="1" x14ac:dyDescent="0.35">
      <c r="A177" s="1"/>
      <c r="B177" s="1"/>
      <c r="C177" s="103">
        <v>42465</v>
      </c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</row>
    <row r="178" spans="1:16" s="28" customFormat="1" hidden="1" x14ac:dyDescent="0.35">
      <c r="A178" s="1"/>
      <c r="B178" s="1"/>
      <c r="C178" s="103">
        <v>42466</v>
      </c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</row>
    <row r="179" spans="1:16" s="28" customFormat="1" hidden="1" x14ac:dyDescent="0.35">
      <c r="A179" s="1"/>
      <c r="B179" s="1"/>
      <c r="C179" s="103">
        <v>42467</v>
      </c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</row>
    <row r="180" spans="1:16" s="28" customFormat="1" hidden="1" x14ac:dyDescent="0.35">
      <c r="A180" s="1"/>
      <c r="B180" s="1"/>
      <c r="C180" s="103">
        <v>42468</v>
      </c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</row>
    <row r="181" spans="1:16" s="28" customFormat="1" hidden="1" x14ac:dyDescent="0.35">
      <c r="A181" s="1"/>
      <c r="B181" s="1"/>
      <c r="C181" s="103">
        <v>42469</v>
      </c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</row>
    <row r="182" spans="1:16" s="28" customFormat="1" hidden="1" x14ac:dyDescent="0.35">
      <c r="A182" s="1"/>
      <c r="B182" s="1"/>
      <c r="C182" s="103">
        <v>42470</v>
      </c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</row>
    <row r="183" spans="1:16" s="28" customFormat="1" hidden="1" x14ac:dyDescent="0.35">
      <c r="A183" s="1"/>
      <c r="B183" s="1"/>
      <c r="C183" s="103">
        <v>42471</v>
      </c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</row>
    <row r="184" spans="1:16" s="28" customFormat="1" hidden="1" x14ac:dyDescent="0.35">
      <c r="A184" s="1"/>
      <c r="B184" s="1"/>
      <c r="C184" s="103">
        <v>42472</v>
      </c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</row>
    <row r="185" spans="1:16" s="28" customFormat="1" hidden="1" x14ac:dyDescent="0.35">
      <c r="A185" s="1"/>
      <c r="B185" s="1"/>
      <c r="C185" s="103">
        <v>42473</v>
      </c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</row>
    <row r="186" spans="1:16" s="28" customFormat="1" hidden="1" x14ac:dyDescent="0.35">
      <c r="A186" s="1"/>
      <c r="B186" s="1"/>
      <c r="C186" s="103">
        <v>42474</v>
      </c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</row>
    <row r="187" spans="1:16" s="28" customFormat="1" hidden="1" x14ac:dyDescent="0.35">
      <c r="A187" s="1"/>
      <c r="B187" s="1"/>
      <c r="C187" s="103">
        <v>42475</v>
      </c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</row>
    <row r="188" spans="1:16" s="28" customFormat="1" hidden="1" x14ac:dyDescent="0.35">
      <c r="A188" s="1"/>
      <c r="B188" s="1"/>
      <c r="C188" s="103">
        <v>42476</v>
      </c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</row>
    <row r="189" spans="1:16" s="28" customFormat="1" hidden="1" x14ac:dyDescent="0.35">
      <c r="A189" s="1"/>
      <c r="B189" s="1"/>
      <c r="C189" s="103">
        <v>42477</v>
      </c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</row>
    <row r="190" spans="1:16" s="28" customFormat="1" hidden="1" x14ac:dyDescent="0.35">
      <c r="A190" s="1"/>
      <c r="B190" s="1"/>
      <c r="C190" s="103">
        <v>42478</v>
      </c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</row>
    <row r="191" spans="1:16" s="28" customFormat="1" hidden="1" x14ac:dyDescent="0.35">
      <c r="A191" s="1"/>
      <c r="B191" s="1"/>
      <c r="C191" s="103">
        <v>42479</v>
      </c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</row>
    <row r="192" spans="1:16" s="28" customFormat="1" hidden="1" x14ac:dyDescent="0.35">
      <c r="A192" s="1"/>
      <c r="B192" s="1"/>
      <c r="C192" s="103">
        <v>42480</v>
      </c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</row>
    <row r="193" spans="1:16" s="28" customFormat="1" hidden="1" x14ac:dyDescent="0.35">
      <c r="A193" s="1"/>
      <c r="B193" s="1"/>
      <c r="C193" s="103">
        <v>42481</v>
      </c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</row>
    <row r="194" spans="1:16" s="28" customFormat="1" hidden="1" x14ac:dyDescent="0.35">
      <c r="A194" s="1"/>
      <c r="B194" s="1"/>
      <c r="C194" s="103">
        <v>42482</v>
      </c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</row>
    <row r="195" spans="1:16" s="28" customFormat="1" hidden="1" x14ac:dyDescent="0.35">
      <c r="A195" s="1"/>
      <c r="B195" s="1"/>
      <c r="C195" s="103">
        <v>42483</v>
      </c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</row>
    <row r="196" spans="1:16" s="28" customFormat="1" hidden="1" x14ac:dyDescent="0.35">
      <c r="A196" s="1"/>
      <c r="B196" s="1"/>
      <c r="C196" s="103">
        <v>42484</v>
      </c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</row>
    <row r="197" spans="1:16" s="28" customFormat="1" hidden="1" x14ac:dyDescent="0.35">
      <c r="A197" s="1"/>
      <c r="B197" s="1"/>
      <c r="C197" s="103">
        <v>42485</v>
      </c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</row>
    <row r="198" spans="1:16" s="28" customFormat="1" hidden="1" x14ac:dyDescent="0.35">
      <c r="A198" s="1"/>
      <c r="B198" s="1"/>
      <c r="C198" s="103">
        <v>42486</v>
      </c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</row>
    <row r="199" spans="1:16" s="28" customFormat="1" hidden="1" x14ac:dyDescent="0.35">
      <c r="A199" s="1"/>
      <c r="B199" s="1"/>
      <c r="C199" s="103">
        <v>42487</v>
      </c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</row>
    <row r="200" spans="1:16" s="28" customFormat="1" hidden="1" x14ac:dyDescent="0.35">
      <c r="A200" s="1"/>
      <c r="B200" s="1"/>
      <c r="C200" s="103">
        <v>42488</v>
      </c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</row>
    <row r="201" spans="1:16" s="28" customFormat="1" hidden="1" x14ac:dyDescent="0.35">
      <c r="A201" s="1"/>
      <c r="B201" s="1"/>
      <c r="C201" s="103">
        <v>42489</v>
      </c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</row>
    <row r="202" spans="1:16" s="28" customFormat="1" hidden="1" x14ac:dyDescent="0.35">
      <c r="A202" s="1"/>
      <c r="B202" s="1"/>
      <c r="C202" s="103">
        <v>42490</v>
      </c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</row>
    <row r="203" spans="1:16" s="28" customFormat="1" hidden="1" x14ac:dyDescent="0.35">
      <c r="A203" s="1"/>
      <c r="B203" s="1"/>
      <c r="C203" s="103">
        <v>42491</v>
      </c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</row>
    <row r="204" spans="1:16" s="28" customFormat="1" hidden="1" x14ac:dyDescent="0.35">
      <c r="A204" s="1"/>
      <c r="B204" s="1"/>
      <c r="C204" s="103">
        <v>42492</v>
      </c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</row>
    <row r="205" spans="1:16" s="28" customFormat="1" hidden="1" x14ac:dyDescent="0.35">
      <c r="A205" s="1"/>
      <c r="B205" s="1"/>
      <c r="C205" s="103">
        <v>42493</v>
      </c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</row>
    <row r="206" spans="1:16" s="28" customFormat="1" hidden="1" x14ac:dyDescent="0.35">
      <c r="A206" s="1"/>
      <c r="B206" s="1"/>
      <c r="C206" s="103">
        <v>42494</v>
      </c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</row>
    <row r="207" spans="1:16" s="28" customFormat="1" hidden="1" x14ac:dyDescent="0.35">
      <c r="A207" s="1"/>
      <c r="B207" s="1"/>
      <c r="C207" s="103">
        <v>42495</v>
      </c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</row>
    <row r="208" spans="1:16" s="28" customFormat="1" hidden="1" x14ac:dyDescent="0.35">
      <c r="A208" s="1"/>
      <c r="B208" s="1"/>
      <c r="C208" s="103">
        <v>42496</v>
      </c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</row>
    <row r="209" spans="1:16" s="28" customFormat="1" hidden="1" x14ac:dyDescent="0.35">
      <c r="A209" s="1"/>
      <c r="B209" s="1"/>
      <c r="C209" s="103">
        <v>42497</v>
      </c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</row>
    <row r="210" spans="1:16" s="28" customFormat="1" hidden="1" x14ac:dyDescent="0.35">
      <c r="A210" s="1"/>
      <c r="B210" s="1"/>
      <c r="C210" s="103">
        <v>42498</v>
      </c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</row>
    <row r="211" spans="1:16" s="28" customFormat="1" hidden="1" x14ac:dyDescent="0.35">
      <c r="A211" s="1"/>
      <c r="B211" s="1"/>
      <c r="C211" s="103">
        <v>42499</v>
      </c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</row>
    <row r="212" spans="1:16" s="28" customFormat="1" hidden="1" x14ac:dyDescent="0.35">
      <c r="A212" s="1"/>
      <c r="B212" s="1"/>
      <c r="C212" s="103">
        <v>42500</v>
      </c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</row>
    <row r="213" spans="1:16" s="28" customFormat="1" hidden="1" x14ac:dyDescent="0.35">
      <c r="A213" s="1"/>
      <c r="B213" s="1"/>
      <c r="C213" s="103">
        <v>42501</v>
      </c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</row>
    <row r="214" spans="1:16" s="28" customFormat="1" hidden="1" x14ac:dyDescent="0.35">
      <c r="A214" s="1"/>
      <c r="B214" s="1"/>
      <c r="C214" s="103">
        <v>42502</v>
      </c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</row>
    <row r="215" spans="1:16" s="28" customFormat="1" hidden="1" x14ac:dyDescent="0.35">
      <c r="A215" s="1"/>
      <c r="B215" s="1"/>
      <c r="C215" s="103">
        <v>42503</v>
      </c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</row>
    <row r="216" spans="1:16" s="28" customFormat="1" hidden="1" x14ac:dyDescent="0.35">
      <c r="A216" s="1"/>
      <c r="B216" s="1"/>
      <c r="C216" s="103">
        <v>42504</v>
      </c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</row>
    <row r="217" spans="1:16" s="28" customFormat="1" hidden="1" x14ac:dyDescent="0.35">
      <c r="A217" s="1"/>
      <c r="B217" s="1"/>
      <c r="C217" s="103">
        <v>42505</v>
      </c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</row>
    <row r="218" spans="1:16" s="28" customFormat="1" hidden="1" x14ac:dyDescent="0.35">
      <c r="A218" s="1"/>
      <c r="B218" s="1"/>
      <c r="C218" s="103">
        <v>42506</v>
      </c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</row>
    <row r="219" spans="1:16" s="28" customFormat="1" hidden="1" x14ac:dyDescent="0.35">
      <c r="A219" s="1"/>
      <c r="B219" s="1"/>
      <c r="C219" s="103">
        <v>42507</v>
      </c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</row>
    <row r="220" spans="1:16" s="28" customFormat="1" hidden="1" x14ac:dyDescent="0.35">
      <c r="A220" s="1"/>
      <c r="B220" s="1"/>
      <c r="C220" s="103">
        <v>42508</v>
      </c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</row>
    <row r="221" spans="1:16" s="28" customFormat="1" hidden="1" x14ac:dyDescent="0.35">
      <c r="A221" s="1"/>
      <c r="B221" s="1"/>
      <c r="C221" s="103">
        <v>42509</v>
      </c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</row>
    <row r="222" spans="1:16" s="28" customFormat="1" hidden="1" x14ac:dyDescent="0.35">
      <c r="A222" s="1"/>
      <c r="B222" s="1"/>
      <c r="C222" s="103">
        <v>42510</v>
      </c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</row>
    <row r="223" spans="1:16" s="28" customFormat="1" hidden="1" x14ac:dyDescent="0.35">
      <c r="A223" s="1"/>
      <c r="B223" s="1"/>
      <c r="C223" s="103">
        <v>42511</v>
      </c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</row>
    <row r="224" spans="1:16" s="28" customFormat="1" hidden="1" x14ac:dyDescent="0.35">
      <c r="A224" s="1"/>
      <c r="B224" s="1"/>
      <c r="C224" s="103">
        <v>42512</v>
      </c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</row>
    <row r="225" spans="1:16" s="28" customFormat="1" hidden="1" x14ac:dyDescent="0.35">
      <c r="A225" s="1"/>
      <c r="B225" s="1"/>
      <c r="C225" s="103">
        <v>42513</v>
      </c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</row>
    <row r="226" spans="1:16" s="28" customFormat="1" hidden="1" x14ac:dyDescent="0.35">
      <c r="A226" s="1"/>
      <c r="B226" s="1"/>
      <c r="C226" s="103">
        <v>42514</v>
      </c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</row>
    <row r="227" spans="1:16" s="28" customFormat="1" hidden="1" x14ac:dyDescent="0.35">
      <c r="A227" s="1"/>
      <c r="B227" s="1"/>
      <c r="C227" s="103">
        <v>42515</v>
      </c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</row>
    <row r="228" spans="1:16" s="28" customFormat="1" hidden="1" x14ac:dyDescent="0.35">
      <c r="A228" s="1"/>
      <c r="B228" s="1"/>
      <c r="C228" s="103">
        <v>42516</v>
      </c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</row>
    <row r="229" spans="1:16" s="28" customFormat="1" hidden="1" x14ac:dyDescent="0.35">
      <c r="A229" s="1"/>
      <c r="B229" s="1"/>
      <c r="C229" s="103">
        <v>42517</v>
      </c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</row>
    <row r="230" spans="1:16" s="28" customFormat="1" hidden="1" x14ac:dyDescent="0.35">
      <c r="A230" s="1"/>
      <c r="B230" s="1"/>
      <c r="C230" s="103">
        <v>42518</v>
      </c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</row>
    <row r="231" spans="1:16" s="28" customFormat="1" hidden="1" x14ac:dyDescent="0.35">
      <c r="A231" s="1"/>
      <c r="B231" s="1"/>
      <c r="C231" s="103">
        <v>42519</v>
      </c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</row>
    <row r="232" spans="1:16" s="28" customFormat="1" hidden="1" x14ac:dyDescent="0.35">
      <c r="A232" s="1"/>
      <c r="B232" s="1"/>
      <c r="C232" s="103">
        <v>42520</v>
      </c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</row>
    <row r="233" spans="1:16" s="28" customFormat="1" hidden="1" x14ac:dyDescent="0.35">
      <c r="A233" s="1"/>
      <c r="B233" s="1"/>
      <c r="C233" s="103">
        <v>42521</v>
      </c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</row>
    <row r="234" spans="1:16" s="28" customFormat="1" hidden="1" x14ac:dyDescent="0.35">
      <c r="A234" s="1"/>
      <c r="B234" s="1"/>
      <c r="C234" s="103">
        <v>42522</v>
      </c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</row>
    <row r="235" spans="1:16" s="28" customFormat="1" hidden="1" x14ac:dyDescent="0.35">
      <c r="A235" s="1"/>
      <c r="B235" s="1"/>
      <c r="C235" s="103">
        <v>42523</v>
      </c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</row>
    <row r="236" spans="1:16" s="28" customFormat="1" hidden="1" x14ac:dyDescent="0.35">
      <c r="A236" s="1"/>
      <c r="B236" s="1"/>
      <c r="C236" s="103">
        <v>42524</v>
      </c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</row>
    <row r="237" spans="1:16" s="28" customFormat="1" hidden="1" x14ac:dyDescent="0.35">
      <c r="A237" s="1"/>
      <c r="B237" s="1"/>
      <c r="C237" s="103">
        <v>42525</v>
      </c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</row>
    <row r="238" spans="1:16" s="28" customFormat="1" hidden="1" x14ac:dyDescent="0.35">
      <c r="A238" s="1"/>
      <c r="B238" s="1"/>
      <c r="C238" s="103">
        <v>42526</v>
      </c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</row>
    <row r="239" spans="1:16" s="28" customFormat="1" hidden="1" x14ac:dyDescent="0.35">
      <c r="A239" s="1"/>
      <c r="B239" s="1"/>
      <c r="C239" s="103">
        <v>42527</v>
      </c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</row>
    <row r="240" spans="1:16" s="28" customFormat="1" hidden="1" x14ac:dyDescent="0.35">
      <c r="A240" s="1"/>
      <c r="B240" s="1"/>
      <c r="C240" s="103">
        <v>42528</v>
      </c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</row>
    <row r="241" spans="1:16" s="28" customFormat="1" hidden="1" x14ac:dyDescent="0.35">
      <c r="A241" s="1"/>
      <c r="B241" s="1"/>
      <c r="C241" s="103">
        <v>42529</v>
      </c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</row>
    <row r="242" spans="1:16" s="28" customFormat="1" hidden="1" x14ac:dyDescent="0.35">
      <c r="A242" s="1"/>
      <c r="B242" s="1"/>
      <c r="C242" s="103">
        <v>42530</v>
      </c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</row>
    <row r="243" spans="1:16" s="28" customFormat="1" hidden="1" x14ac:dyDescent="0.35">
      <c r="A243" s="1"/>
      <c r="B243" s="1"/>
      <c r="C243" s="103">
        <v>42531</v>
      </c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</row>
    <row r="244" spans="1:16" s="28" customFormat="1" hidden="1" x14ac:dyDescent="0.35">
      <c r="A244" s="1"/>
      <c r="B244" s="1"/>
      <c r="C244" s="103">
        <v>42532</v>
      </c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</row>
    <row r="245" spans="1:16" s="28" customFormat="1" hidden="1" x14ac:dyDescent="0.35">
      <c r="A245" s="1"/>
      <c r="B245" s="1"/>
      <c r="C245" s="103">
        <v>42533</v>
      </c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</row>
    <row r="246" spans="1:16" s="28" customFormat="1" hidden="1" x14ac:dyDescent="0.35">
      <c r="A246" s="1"/>
      <c r="B246" s="1"/>
      <c r="C246" s="103">
        <v>42534</v>
      </c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</row>
    <row r="247" spans="1:16" s="28" customFormat="1" hidden="1" x14ac:dyDescent="0.35">
      <c r="A247" s="1"/>
      <c r="B247" s="1"/>
      <c r="C247" s="103">
        <v>42535</v>
      </c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</row>
    <row r="248" spans="1:16" s="28" customFormat="1" hidden="1" x14ac:dyDescent="0.35">
      <c r="A248" s="1"/>
      <c r="B248" s="1"/>
      <c r="C248" s="103">
        <v>42536</v>
      </c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</row>
    <row r="249" spans="1:16" s="28" customFormat="1" hidden="1" x14ac:dyDescent="0.35">
      <c r="A249" s="1"/>
      <c r="B249" s="1"/>
      <c r="C249" s="103">
        <v>42537</v>
      </c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</row>
    <row r="250" spans="1:16" s="28" customFormat="1" hidden="1" x14ac:dyDescent="0.35">
      <c r="A250" s="1"/>
      <c r="B250" s="1"/>
      <c r="C250" s="103">
        <v>42538</v>
      </c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</row>
    <row r="251" spans="1:16" s="28" customFormat="1" hidden="1" x14ac:dyDescent="0.35">
      <c r="A251" s="1"/>
      <c r="B251" s="1"/>
      <c r="C251" s="103">
        <v>42539</v>
      </c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</row>
    <row r="252" spans="1:16" s="28" customFormat="1" hidden="1" x14ac:dyDescent="0.35">
      <c r="A252" s="1"/>
      <c r="B252" s="1"/>
      <c r="C252" s="103">
        <v>42540</v>
      </c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</row>
    <row r="253" spans="1:16" s="28" customFormat="1" hidden="1" x14ac:dyDescent="0.35">
      <c r="A253" s="1"/>
      <c r="B253" s="1"/>
      <c r="C253" s="103">
        <v>42541</v>
      </c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</row>
    <row r="254" spans="1:16" s="28" customFormat="1" hidden="1" x14ac:dyDescent="0.35">
      <c r="A254" s="1"/>
      <c r="B254" s="1"/>
      <c r="C254" s="103">
        <v>42542</v>
      </c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</row>
    <row r="255" spans="1:16" s="28" customFormat="1" hidden="1" x14ac:dyDescent="0.35">
      <c r="A255" s="1"/>
      <c r="B255" s="1"/>
      <c r="C255" s="103">
        <v>42543</v>
      </c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</row>
    <row r="256" spans="1:16" s="28" customFormat="1" hidden="1" x14ac:dyDescent="0.35">
      <c r="A256" s="1"/>
      <c r="B256" s="1"/>
      <c r="C256" s="103">
        <v>42544</v>
      </c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</row>
    <row r="257" spans="1:16" s="28" customFormat="1" hidden="1" x14ac:dyDescent="0.35">
      <c r="A257" s="1"/>
      <c r="B257" s="1"/>
      <c r="C257" s="103">
        <v>42545</v>
      </c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</row>
    <row r="258" spans="1:16" s="28" customFormat="1" hidden="1" x14ac:dyDescent="0.35">
      <c r="A258" s="1"/>
      <c r="B258" s="1"/>
      <c r="C258" s="103">
        <v>42546</v>
      </c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</row>
    <row r="259" spans="1:16" s="28" customFormat="1" hidden="1" x14ac:dyDescent="0.35">
      <c r="A259" s="1"/>
      <c r="B259" s="1"/>
      <c r="C259" s="103">
        <v>42547</v>
      </c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</row>
    <row r="260" spans="1:16" s="28" customFormat="1" hidden="1" x14ac:dyDescent="0.35">
      <c r="A260" s="1"/>
      <c r="B260" s="1"/>
      <c r="C260" s="103">
        <v>42548</v>
      </c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</row>
    <row r="261" spans="1:16" s="28" customFormat="1" hidden="1" x14ac:dyDescent="0.35">
      <c r="A261" s="1"/>
      <c r="B261" s="1"/>
      <c r="C261" s="103">
        <v>42549</v>
      </c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</row>
    <row r="262" spans="1:16" s="28" customFormat="1" hidden="1" x14ac:dyDescent="0.35">
      <c r="A262" s="1"/>
      <c r="B262" s="1"/>
      <c r="C262" s="103">
        <v>42550</v>
      </c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</row>
    <row r="263" spans="1:16" s="28" customFormat="1" hidden="1" x14ac:dyDescent="0.35">
      <c r="A263" s="1"/>
      <c r="B263" s="1"/>
      <c r="C263" s="103">
        <v>42551</v>
      </c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</row>
    <row r="264" spans="1:16" s="28" customFormat="1" hidden="1" x14ac:dyDescent="0.35">
      <c r="A264" s="1"/>
      <c r="B264" s="1"/>
      <c r="C264" s="103">
        <v>42552</v>
      </c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</row>
    <row r="265" spans="1:16" s="28" customFormat="1" hidden="1" x14ac:dyDescent="0.35">
      <c r="A265" s="1"/>
      <c r="B265" s="1"/>
      <c r="C265" s="103">
        <v>42553</v>
      </c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</row>
    <row r="266" spans="1:16" s="28" customFormat="1" hidden="1" x14ac:dyDescent="0.35">
      <c r="A266" s="1"/>
      <c r="B266" s="1"/>
      <c r="C266" s="103">
        <v>42554</v>
      </c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</row>
    <row r="267" spans="1:16" s="28" customFormat="1" hidden="1" x14ac:dyDescent="0.35">
      <c r="A267" s="1"/>
      <c r="B267" s="1"/>
      <c r="C267" s="103">
        <v>42555</v>
      </c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</row>
    <row r="268" spans="1:16" s="28" customFormat="1" hidden="1" x14ac:dyDescent="0.35">
      <c r="A268" s="1"/>
      <c r="B268" s="1"/>
      <c r="C268" s="103">
        <v>42556</v>
      </c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</row>
    <row r="269" spans="1:16" s="28" customFormat="1" hidden="1" x14ac:dyDescent="0.35">
      <c r="A269" s="1"/>
      <c r="B269" s="1"/>
      <c r="C269" s="103">
        <v>42557</v>
      </c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</row>
    <row r="270" spans="1:16" s="28" customFormat="1" hidden="1" x14ac:dyDescent="0.35">
      <c r="A270" s="1"/>
      <c r="B270" s="1"/>
      <c r="C270" s="103">
        <v>42558</v>
      </c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</row>
    <row r="271" spans="1:16" s="28" customFormat="1" hidden="1" x14ac:dyDescent="0.35">
      <c r="A271" s="1"/>
      <c r="B271" s="1"/>
      <c r="C271" s="103">
        <v>42559</v>
      </c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</row>
    <row r="272" spans="1:16" s="28" customFormat="1" hidden="1" x14ac:dyDescent="0.35">
      <c r="A272" s="1"/>
      <c r="B272" s="1"/>
      <c r="C272" s="103">
        <v>42560</v>
      </c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</row>
    <row r="273" spans="1:16" s="28" customFormat="1" hidden="1" x14ac:dyDescent="0.35">
      <c r="A273" s="1"/>
      <c r="B273" s="1"/>
      <c r="C273" s="103">
        <v>42561</v>
      </c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</row>
    <row r="274" spans="1:16" s="28" customFormat="1" hidden="1" x14ac:dyDescent="0.35">
      <c r="A274" s="1"/>
      <c r="B274" s="1"/>
      <c r="C274" s="103">
        <v>42562</v>
      </c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</row>
    <row r="275" spans="1:16" s="28" customFormat="1" hidden="1" x14ac:dyDescent="0.35">
      <c r="A275" s="1"/>
      <c r="B275" s="1"/>
      <c r="C275" s="103">
        <v>42563</v>
      </c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</row>
    <row r="276" spans="1:16" s="28" customFormat="1" hidden="1" x14ac:dyDescent="0.35">
      <c r="A276" s="1"/>
      <c r="B276" s="1"/>
      <c r="C276" s="103">
        <v>42564</v>
      </c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</row>
    <row r="277" spans="1:16" s="28" customFormat="1" hidden="1" x14ac:dyDescent="0.35">
      <c r="A277" s="1"/>
      <c r="B277" s="1"/>
      <c r="C277" s="103">
        <v>42565</v>
      </c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</row>
    <row r="278" spans="1:16" s="28" customFormat="1" hidden="1" x14ac:dyDescent="0.35">
      <c r="A278" s="1"/>
      <c r="B278" s="1"/>
      <c r="C278" s="103">
        <v>42566</v>
      </c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</row>
    <row r="279" spans="1:16" s="28" customFormat="1" hidden="1" x14ac:dyDescent="0.35">
      <c r="A279" s="1"/>
      <c r="B279" s="1"/>
      <c r="C279" s="103">
        <v>42567</v>
      </c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</row>
    <row r="280" spans="1:16" s="28" customFormat="1" hidden="1" x14ac:dyDescent="0.35">
      <c r="A280" s="1"/>
      <c r="B280" s="1"/>
      <c r="C280" s="103">
        <v>42568</v>
      </c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</row>
    <row r="281" spans="1:16" s="28" customFormat="1" hidden="1" x14ac:dyDescent="0.35">
      <c r="A281" s="1"/>
      <c r="B281" s="1"/>
      <c r="C281" s="103">
        <v>42569</v>
      </c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</row>
    <row r="282" spans="1:16" s="28" customFormat="1" hidden="1" x14ac:dyDescent="0.35">
      <c r="A282" s="1"/>
      <c r="B282" s="1"/>
      <c r="C282" s="103">
        <v>42570</v>
      </c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</row>
    <row r="283" spans="1:16" s="28" customFormat="1" hidden="1" x14ac:dyDescent="0.35">
      <c r="A283" s="1"/>
      <c r="B283" s="1"/>
      <c r="C283" s="103">
        <v>42571</v>
      </c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</row>
    <row r="284" spans="1:16" s="28" customFormat="1" hidden="1" x14ac:dyDescent="0.35">
      <c r="A284" s="1"/>
      <c r="B284" s="1"/>
      <c r="C284" s="103">
        <v>42572</v>
      </c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</row>
    <row r="285" spans="1:16" s="28" customFormat="1" hidden="1" x14ac:dyDescent="0.35">
      <c r="A285" s="1"/>
      <c r="B285" s="1"/>
      <c r="C285" s="103">
        <v>42573</v>
      </c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</row>
    <row r="286" spans="1:16" s="28" customFormat="1" hidden="1" x14ac:dyDescent="0.35">
      <c r="A286" s="1"/>
      <c r="B286" s="1"/>
      <c r="C286" s="103">
        <v>42574</v>
      </c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</row>
    <row r="287" spans="1:16" s="28" customFormat="1" hidden="1" x14ac:dyDescent="0.35">
      <c r="A287" s="1"/>
      <c r="B287" s="1"/>
      <c r="C287" s="103">
        <v>42575</v>
      </c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</row>
    <row r="288" spans="1:16" s="28" customFormat="1" hidden="1" x14ac:dyDescent="0.35">
      <c r="A288" s="1"/>
      <c r="B288" s="1"/>
      <c r="C288" s="103">
        <v>42576</v>
      </c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</row>
    <row r="289" spans="1:16" s="28" customFormat="1" hidden="1" x14ac:dyDescent="0.35">
      <c r="A289" s="1"/>
      <c r="B289" s="1"/>
      <c r="C289" s="103">
        <v>42577</v>
      </c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</row>
    <row r="290" spans="1:16" s="28" customFormat="1" hidden="1" x14ac:dyDescent="0.35">
      <c r="A290" s="1"/>
      <c r="B290" s="1"/>
      <c r="C290" s="103">
        <v>42578</v>
      </c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</row>
    <row r="291" spans="1:16" s="28" customFormat="1" hidden="1" x14ac:dyDescent="0.35">
      <c r="A291" s="1"/>
      <c r="B291" s="1"/>
      <c r="C291" s="103">
        <v>42579</v>
      </c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</row>
    <row r="292" spans="1:16" s="28" customFormat="1" hidden="1" x14ac:dyDescent="0.35">
      <c r="A292" s="1"/>
      <c r="B292" s="1"/>
      <c r="C292" s="103">
        <v>42580</v>
      </c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</row>
    <row r="293" spans="1:16" s="28" customFormat="1" hidden="1" x14ac:dyDescent="0.35">
      <c r="A293" s="1"/>
      <c r="B293" s="1"/>
      <c r="C293" s="103">
        <v>42581</v>
      </c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</row>
    <row r="294" spans="1:16" s="28" customFormat="1" hidden="1" x14ac:dyDescent="0.35">
      <c r="A294" s="1"/>
      <c r="B294" s="1"/>
      <c r="C294" s="103">
        <v>42582</v>
      </c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</row>
    <row r="295" spans="1:16" s="28" customFormat="1" hidden="1" x14ac:dyDescent="0.35">
      <c r="A295" s="1"/>
      <c r="B295" s="1"/>
      <c r="C295" s="103">
        <v>42583</v>
      </c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</row>
    <row r="296" spans="1:16" s="28" customFormat="1" hidden="1" x14ac:dyDescent="0.35">
      <c r="A296" s="1"/>
      <c r="B296" s="1"/>
      <c r="C296" s="103">
        <v>42584</v>
      </c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</row>
    <row r="297" spans="1:16" s="28" customFormat="1" hidden="1" x14ac:dyDescent="0.35">
      <c r="A297" s="1"/>
      <c r="B297" s="1"/>
      <c r="C297" s="103">
        <v>42585</v>
      </c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</row>
    <row r="298" spans="1:16" s="28" customFormat="1" hidden="1" x14ac:dyDescent="0.35">
      <c r="A298" s="1"/>
      <c r="B298" s="1"/>
      <c r="C298" s="103">
        <v>42586</v>
      </c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</row>
    <row r="299" spans="1:16" s="28" customFormat="1" hidden="1" x14ac:dyDescent="0.35">
      <c r="A299" s="1"/>
      <c r="B299" s="1"/>
      <c r="C299" s="103">
        <v>42587</v>
      </c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</row>
    <row r="300" spans="1:16" s="28" customFormat="1" hidden="1" x14ac:dyDescent="0.35">
      <c r="A300" s="1"/>
      <c r="B300" s="1"/>
      <c r="C300" s="103">
        <v>42588</v>
      </c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</row>
    <row r="301" spans="1:16" s="28" customFormat="1" hidden="1" x14ac:dyDescent="0.35">
      <c r="A301" s="1"/>
      <c r="B301" s="1"/>
      <c r="C301" s="103">
        <v>42589</v>
      </c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</row>
    <row r="302" spans="1:16" s="28" customFormat="1" hidden="1" x14ac:dyDescent="0.35">
      <c r="A302" s="1"/>
      <c r="B302" s="1"/>
      <c r="C302" s="103">
        <v>42590</v>
      </c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</row>
    <row r="303" spans="1:16" s="28" customFormat="1" hidden="1" x14ac:dyDescent="0.35">
      <c r="A303" s="1"/>
      <c r="B303" s="1"/>
      <c r="C303" s="103">
        <v>42591</v>
      </c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</row>
    <row r="304" spans="1:16" s="28" customFormat="1" hidden="1" x14ac:dyDescent="0.35">
      <c r="A304" s="1"/>
      <c r="B304" s="1"/>
      <c r="C304" s="103">
        <v>42592</v>
      </c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</row>
    <row r="305" spans="1:16" s="28" customFormat="1" hidden="1" x14ac:dyDescent="0.35">
      <c r="A305" s="1"/>
      <c r="B305" s="1"/>
      <c r="C305" s="103">
        <v>42593</v>
      </c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</row>
    <row r="306" spans="1:16" s="28" customFormat="1" hidden="1" x14ac:dyDescent="0.35">
      <c r="A306" s="1"/>
      <c r="B306" s="1"/>
      <c r="C306" s="103">
        <v>42594</v>
      </c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</row>
    <row r="307" spans="1:16" s="28" customFormat="1" hidden="1" x14ac:dyDescent="0.35">
      <c r="A307" s="1"/>
      <c r="B307" s="1"/>
      <c r="C307" s="103">
        <v>42595</v>
      </c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</row>
    <row r="308" spans="1:16" s="28" customFormat="1" hidden="1" x14ac:dyDescent="0.35">
      <c r="A308" s="1"/>
      <c r="B308" s="1"/>
      <c r="C308" s="103">
        <v>42596</v>
      </c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</row>
    <row r="309" spans="1:16" s="28" customFormat="1" hidden="1" x14ac:dyDescent="0.35">
      <c r="A309" s="1"/>
      <c r="B309" s="1"/>
      <c r="C309" s="103">
        <v>42597</v>
      </c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</row>
    <row r="310" spans="1:16" s="28" customFormat="1" hidden="1" x14ac:dyDescent="0.35">
      <c r="A310" s="1"/>
      <c r="B310" s="1"/>
      <c r="C310" s="103">
        <v>42598</v>
      </c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</row>
    <row r="311" spans="1:16" s="28" customFormat="1" hidden="1" x14ac:dyDescent="0.35">
      <c r="A311" s="1"/>
      <c r="B311" s="1"/>
      <c r="C311" s="103">
        <v>42599</v>
      </c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</row>
    <row r="312" spans="1:16" s="28" customFormat="1" hidden="1" x14ac:dyDescent="0.35">
      <c r="A312" s="1"/>
      <c r="B312" s="1"/>
      <c r="C312" s="103">
        <v>42600</v>
      </c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</row>
    <row r="313" spans="1:16" s="28" customFormat="1" hidden="1" x14ac:dyDescent="0.35">
      <c r="A313" s="1"/>
      <c r="B313" s="1"/>
      <c r="C313" s="103">
        <v>42601</v>
      </c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</row>
    <row r="314" spans="1:16" s="28" customFormat="1" hidden="1" x14ac:dyDescent="0.35">
      <c r="A314" s="1"/>
      <c r="B314" s="1"/>
      <c r="C314" s="103">
        <v>42602</v>
      </c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</row>
    <row r="315" spans="1:16" s="28" customFormat="1" hidden="1" x14ac:dyDescent="0.35">
      <c r="A315" s="1"/>
      <c r="B315" s="1"/>
      <c r="C315" s="103">
        <v>42603</v>
      </c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</row>
    <row r="316" spans="1:16" s="28" customFormat="1" hidden="1" x14ac:dyDescent="0.35">
      <c r="A316" s="1"/>
      <c r="B316" s="1"/>
      <c r="C316" s="103">
        <v>42604</v>
      </c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</row>
    <row r="317" spans="1:16" s="28" customFormat="1" hidden="1" x14ac:dyDescent="0.35">
      <c r="A317" s="1"/>
      <c r="B317" s="1"/>
      <c r="C317" s="103">
        <v>42605</v>
      </c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</row>
    <row r="318" spans="1:16" s="28" customFormat="1" hidden="1" x14ac:dyDescent="0.35">
      <c r="A318" s="1"/>
      <c r="B318" s="1"/>
      <c r="C318" s="103">
        <v>42606</v>
      </c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</row>
    <row r="319" spans="1:16" s="28" customFormat="1" hidden="1" x14ac:dyDescent="0.35">
      <c r="A319" s="1"/>
      <c r="B319" s="1"/>
      <c r="C319" s="103">
        <v>42607</v>
      </c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</row>
    <row r="320" spans="1:16" s="28" customFormat="1" hidden="1" x14ac:dyDescent="0.35">
      <c r="A320" s="1"/>
      <c r="B320" s="1"/>
      <c r="C320" s="103">
        <v>42608</v>
      </c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</row>
    <row r="321" spans="1:16" s="28" customFormat="1" hidden="1" x14ac:dyDescent="0.35">
      <c r="A321" s="1"/>
      <c r="B321" s="1"/>
      <c r="C321" s="103">
        <v>42609</v>
      </c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</row>
    <row r="322" spans="1:16" s="28" customFormat="1" hidden="1" x14ac:dyDescent="0.35">
      <c r="A322" s="1"/>
      <c r="B322" s="1"/>
      <c r="C322" s="103">
        <v>42610</v>
      </c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</row>
    <row r="323" spans="1:16" s="28" customFormat="1" hidden="1" x14ac:dyDescent="0.35">
      <c r="A323" s="1"/>
      <c r="B323" s="1"/>
      <c r="C323" s="103">
        <v>42611</v>
      </c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</row>
    <row r="324" spans="1:16" s="28" customFormat="1" hidden="1" x14ac:dyDescent="0.35">
      <c r="A324" s="1"/>
      <c r="B324" s="1"/>
      <c r="C324" s="103">
        <v>42612</v>
      </c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</row>
    <row r="325" spans="1:16" s="28" customFormat="1" hidden="1" x14ac:dyDescent="0.35">
      <c r="A325" s="1"/>
      <c r="B325" s="1"/>
      <c r="C325" s="103">
        <v>42613</v>
      </c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</row>
    <row r="326" spans="1:16" s="28" customFormat="1" hidden="1" x14ac:dyDescent="0.35">
      <c r="A326" s="1"/>
      <c r="B326" s="1"/>
      <c r="C326" s="103">
        <v>42614</v>
      </c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</row>
    <row r="327" spans="1:16" s="28" customFormat="1" hidden="1" x14ac:dyDescent="0.35">
      <c r="A327" s="1"/>
      <c r="B327" s="1"/>
      <c r="C327" s="103">
        <v>42615</v>
      </c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</row>
    <row r="328" spans="1:16" s="28" customFormat="1" hidden="1" x14ac:dyDescent="0.35">
      <c r="A328" s="1"/>
      <c r="B328" s="1"/>
      <c r="C328" s="103">
        <v>42616</v>
      </c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</row>
    <row r="329" spans="1:16" s="28" customFormat="1" hidden="1" x14ac:dyDescent="0.35">
      <c r="A329" s="1"/>
      <c r="B329" s="1"/>
      <c r="C329" s="103">
        <v>42617</v>
      </c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</row>
    <row r="330" spans="1:16" s="28" customFormat="1" hidden="1" x14ac:dyDescent="0.35">
      <c r="A330" s="1"/>
      <c r="B330" s="1"/>
      <c r="C330" s="103">
        <v>42618</v>
      </c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</row>
    <row r="331" spans="1:16" s="28" customFormat="1" hidden="1" x14ac:dyDescent="0.35">
      <c r="A331" s="1"/>
      <c r="B331" s="1"/>
      <c r="C331" s="103">
        <v>42619</v>
      </c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</row>
    <row r="332" spans="1:16" s="28" customFormat="1" hidden="1" x14ac:dyDescent="0.35">
      <c r="A332" s="1"/>
      <c r="B332" s="1"/>
      <c r="C332" s="103">
        <v>42620</v>
      </c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</row>
    <row r="333" spans="1:16" s="28" customFormat="1" hidden="1" x14ac:dyDescent="0.35">
      <c r="A333" s="1"/>
      <c r="B333" s="1"/>
      <c r="C333" s="103">
        <v>42621</v>
      </c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</row>
    <row r="334" spans="1:16" s="28" customFormat="1" hidden="1" x14ac:dyDescent="0.35">
      <c r="A334" s="1"/>
      <c r="B334" s="1"/>
      <c r="C334" s="103">
        <v>42622</v>
      </c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</row>
    <row r="335" spans="1:16" s="28" customFormat="1" hidden="1" x14ac:dyDescent="0.35">
      <c r="A335" s="1"/>
      <c r="B335" s="1"/>
      <c r="C335" s="103">
        <v>42623</v>
      </c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</row>
    <row r="336" spans="1:16" s="28" customFormat="1" hidden="1" x14ac:dyDescent="0.35">
      <c r="A336" s="1"/>
      <c r="B336" s="1"/>
      <c r="C336" s="103">
        <v>42624</v>
      </c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</row>
    <row r="337" spans="1:16" s="28" customFormat="1" hidden="1" x14ac:dyDescent="0.35">
      <c r="A337" s="1"/>
      <c r="B337" s="1"/>
      <c r="C337" s="103">
        <v>42625</v>
      </c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</row>
    <row r="338" spans="1:16" s="28" customFormat="1" hidden="1" x14ac:dyDescent="0.35">
      <c r="A338" s="1"/>
      <c r="B338" s="1"/>
      <c r="C338" s="103">
        <v>42626</v>
      </c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</row>
    <row r="339" spans="1:16" s="28" customFormat="1" hidden="1" x14ac:dyDescent="0.35">
      <c r="A339" s="1"/>
      <c r="B339" s="1"/>
      <c r="C339" s="103">
        <v>42627</v>
      </c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</row>
    <row r="340" spans="1:16" s="28" customFormat="1" hidden="1" x14ac:dyDescent="0.35">
      <c r="A340" s="1"/>
      <c r="B340" s="1"/>
      <c r="C340" s="103">
        <v>42628</v>
      </c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</row>
    <row r="341" spans="1:16" s="28" customFormat="1" hidden="1" x14ac:dyDescent="0.35">
      <c r="A341" s="1"/>
      <c r="B341" s="1"/>
      <c r="C341" s="103">
        <v>42629</v>
      </c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</row>
    <row r="342" spans="1:16" s="28" customFormat="1" hidden="1" x14ac:dyDescent="0.35">
      <c r="A342" s="1"/>
      <c r="B342" s="1"/>
      <c r="C342" s="103">
        <v>42630</v>
      </c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</row>
    <row r="343" spans="1:16" s="28" customFormat="1" hidden="1" x14ac:dyDescent="0.35">
      <c r="A343" s="1"/>
      <c r="B343" s="1"/>
      <c r="C343" s="103">
        <v>42631</v>
      </c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</row>
    <row r="344" spans="1:16" s="28" customFormat="1" hidden="1" x14ac:dyDescent="0.35">
      <c r="A344" s="1"/>
      <c r="B344" s="1"/>
      <c r="C344" s="103">
        <v>42632</v>
      </c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</row>
    <row r="345" spans="1:16" s="28" customFormat="1" hidden="1" x14ac:dyDescent="0.35">
      <c r="A345" s="1"/>
      <c r="B345" s="1"/>
      <c r="C345" s="103">
        <v>42633</v>
      </c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</row>
    <row r="346" spans="1:16" s="28" customFormat="1" hidden="1" x14ac:dyDescent="0.35">
      <c r="A346" s="1"/>
      <c r="B346" s="1"/>
      <c r="C346" s="103">
        <v>42634</v>
      </c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</row>
    <row r="347" spans="1:16" s="28" customFormat="1" hidden="1" x14ac:dyDescent="0.35">
      <c r="A347" s="1"/>
      <c r="B347" s="1"/>
      <c r="C347" s="103">
        <v>42635</v>
      </c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</row>
    <row r="348" spans="1:16" s="28" customFormat="1" hidden="1" x14ac:dyDescent="0.35">
      <c r="A348" s="1"/>
      <c r="B348" s="1"/>
      <c r="C348" s="103">
        <v>42636</v>
      </c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</row>
    <row r="349" spans="1:16" s="28" customFormat="1" hidden="1" x14ac:dyDescent="0.35">
      <c r="A349" s="1"/>
      <c r="B349" s="1"/>
      <c r="C349" s="103">
        <v>42637</v>
      </c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</row>
    <row r="350" spans="1:16" s="28" customFormat="1" hidden="1" x14ac:dyDescent="0.35">
      <c r="A350" s="1"/>
      <c r="B350" s="1"/>
      <c r="C350" s="103">
        <v>42638</v>
      </c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</row>
    <row r="351" spans="1:16" s="28" customFormat="1" hidden="1" x14ac:dyDescent="0.35">
      <c r="A351" s="1"/>
      <c r="B351" s="1"/>
      <c r="C351" s="103">
        <v>42639</v>
      </c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</row>
    <row r="352" spans="1:16" s="28" customFormat="1" hidden="1" x14ac:dyDescent="0.35">
      <c r="A352" s="1"/>
      <c r="B352" s="1"/>
      <c r="C352" s="103">
        <v>42640</v>
      </c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</row>
    <row r="353" spans="1:16" s="28" customFormat="1" hidden="1" x14ac:dyDescent="0.35">
      <c r="A353" s="1"/>
      <c r="B353" s="1"/>
      <c r="C353" s="103">
        <v>42641</v>
      </c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</row>
    <row r="354" spans="1:16" s="28" customFormat="1" hidden="1" x14ac:dyDescent="0.35">
      <c r="A354" s="1"/>
      <c r="B354" s="1"/>
      <c r="C354" s="103">
        <v>42642</v>
      </c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</row>
    <row r="355" spans="1:16" s="28" customFormat="1" hidden="1" x14ac:dyDescent="0.35">
      <c r="A355" s="1"/>
      <c r="B355" s="1"/>
      <c r="C355" s="103">
        <v>42643</v>
      </c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</row>
    <row r="356" spans="1:16" s="28" customFormat="1" hidden="1" x14ac:dyDescent="0.35">
      <c r="A356" s="1"/>
      <c r="B356" s="1"/>
      <c r="C356" s="103">
        <v>42644</v>
      </c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</row>
    <row r="357" spans="1:16" s="28" customFormat="1" hidden="1" x14ac:dyDescent="0.35">
      <c r="A357" s="1"/>
      <c r="B357" s="1"/>
      <c r="C357" s="103">
        <v>42645</v>
      </c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</row>
    <row r="358" spans="1:16" s="28" customFormat="1" hidden="1" x14ac:dyDescent="0.35">
      <c r="A358" s="1"/>
      <c r="B358" s="1"/>
      <c r="C358" s="103">
        <v>42646</v>
      </c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</row>
    <row r="359" spans="1:16" s="28" customFormat="1" hidden="1" x14ac:dyDescent="0.35">
      <c r="A359" s="1"/>
      <c r="B359" s="1"/>
      <c r="C359" s="103">
        <v>42647</v>
      </c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</row>
    <row r="360" spans="1:16" s="28" customFormat="1" hidden="1" x14ac:dyDescent="0.35">
      <c r="A360" s="1"/>
      <c r="B360" s="1"/>
      <c r="C360" s="103">
        <v>42648</v>
      </c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</row>
    <row r="361" spans="1:16" s="28" customFormat="1" hidden="1" x14ac:dyDescent="0.35">
      <c r="A361" s="1"/>
      <c r="B361" s="1"/>
      <c r="C361" s="103">
        <v>42649</v>
      </c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</row>
    <row r="362" spans="1:16" s="28" customFormat="1" hidden="1" x14ac:dyDescent="0.35">
      <c r="A362" s="1"/>
      <c r="B362" s="1"/>
      <c r="C362" s="103">
        <v>42650</v>
      </c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</row>
    <row r="363" spans="1:16" s="28" customFormat="1" hidden="1" x14ac:dyDescent="0.35">
      <c r="A363" s="1"/>
      <c r="B363" s="1"/>
      <c r="C363" s="103">
        <v>42651</v>
      </c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</row>
    <row r="364" spans="1:16" s="28" customFormat="1" hidden="1" x14ac:dyDescent="0.35">
      <c r="A364" s="1"/>
      <c r="B364" s="1"/>
      <c r="C364" s="103">
        <v>42652</v>
      </c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</row>
    <row r="365" spans="1:16" s="28" customFormat="1" hidden="1" x14ac:dyDescent="0.35">
      <c r="A365" s="1"/>
      <c r="B365" s="1"/>
      <c r="C365" s="103">
        <v>42653</v>
      </c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</row>
    <row r="366" spans="1:16" s="28" customFormat="1" hidden="1" x14ac:dyDescent="0.35">
      <c r="A366" s="1"/>
      <c r="B366" s="1"/>
      <c r="C366" s="103">
        <v>42654</v>
      </c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</row>
    <row r="367" spans="1:16" s="28" customFormat="1" hidden="1" x14ac:dyDescent="0.35">
      <c r="A367" s="1"/>
      <c r="B367" s="1"/>
      <c r="C367" s="103">
        <v>42655</v>
      </c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</row>
    <row r="368" spans="1:16" s="28" customFormat="1" hidden="1" x14ac:dyDescent="0.35">
      <c r="A368" s="1"/>
      <c r="B368" s="1"/>
      <c r="C368" s="103">
        <v>42656</v>
      </c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</row>
    <row r="369" spans="1:16" s="28" customFormat="1" hidden="1" x14ac:dyDescent="0.35">
      <c r="A369" s="1"/>
      <c r="B369" s="1"/>
      <c r="C369" s="103">
        <v>42657</v>
      </c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</row>
    <row r="370" spans="1:16" s="28" customFormat="1" hidden="1" x14ac:dyDescent="0.35">
      <c r="A370" s="1"/>
      <c r="B370" s="1"/>
      <c r="C370" s="103">
        <v>42658</v>
      </c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</row>
    <row r="371" spans="1:16" s="28" customFormat="1" hidden="1" x14ac:dyDescent="0.35">
      <c r="A371" s="1"/>
      <c r="B371" s="1"/>
      <c r="C371" s="103">
        <v>42659</v>
      </c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</row>
    <row r="372" spans="1:16" s="28" customFormat="1" hidden="1" x14ac:dyDescent="0.35">
      <c r="A372" s="1"/>
      <c r="B372" s="1"/>
      <c r="C372" s="103">
        <v>42660</v>
      </c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</row>
    <row r="373" spans="1:16" s="28" customFormat="1" hidden="1" x14ac:dyDescent="0.35">
      <c r="A373" s="1"/>
      <c r="B373" s="1"/>
      <c r="C373" s="103">
        <v>42661</v>
      </c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</row>
    <row r="374" spans="1:16" s="28" customFormat="1" hidden="1" x14ac:dyDescent="0.35">
      <c r="A374" s="1"/>
      <c r="B374" s="1"/>
      <c r="C374" s="103">
        <v>42662</v>
      </c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</row>
    <row r="375" spans="1:16" s="28" customFormat="1" hidden="1" x14ac:dyDescent="0.35">
      <c r="A375" s="1"/>
      <c r="B375" s="1"/>
      <c r="C375" s="103">
        <v>42663</v>
      </c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</row>
    <row r="376" spans="1:16" s="28" customFormat="1" hidden="1" x14ac:dyDescent="0.35">
      <c r="A376" s="1"/>
      <c r="B376" s="1"/>
      <c r="C376" s="103">
        <v>42664</v>
      </c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</row>
    <row r="377" spans="1:16" s="28" customFormat="1" hidden="1" x14ac:dyDescent="0.35">
      <c r="A377" s="1"/>
      <c r="B377" s="1"/>
      <c r="C377" s="103">
        <v>42665</v>
      </c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</row>
    <row r="378" spans="1:16" s="28" customFormat="1" hidden="1" x14ac:dyDescent="0.35">
      <c r="A378" s="1"/>
      <c r="B378" s="1"/>
      <c r="C378" s="103">
        <v>42666</v>
      </c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</row>
    <row r="379" spans="1:16" s="28" customFormat="1" hidden="1" x14ac:dyDescent="0.35">
      <c r="A379" s="1"/>
      <c r="B379" s="1"/>
      <c r="C379" s="103">
        <v>42667</v>
      </c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</row>
    <row r="380" spans="1:16" s="28" customFormat="1" hidden="1" x14ac:dyDescent="0.35">
      <c r="A380" s="1"/>
      <c r="B380" s="1"/>
      <c r="C380" s="103">
        <v>42668</v>
      </c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</row>
    <row r="381" spans="1:16" s="28" customFormat="1" hidden="1" x14ac:dyDescent="0.35">
      <c r="A381" s="1"/>
      <c r="B381" s="1"/>
      <c r="C381" s="103">
        <v>42669</v>
      </c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</row>
    <row r="382" spans="1:16" s="28" customFormat="1" hidden="1" x14ac:dyDescent="0.35">
      <c r="A382" s="1"/>
      <c r="B382" s="1"/>
      <c r="C382" s="103">
        <v>42670</v>
      </c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</row>
    <row r="383" spans="1:16" s="28" customFormat="1" hidden="1" x14ac:dyDescent="0.35">
      <c r="A383" s="1"/>
      <c r="B383" s="1"/>
      <c r="C383" s="103">
        <v>42671</v>
      </c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</row>
    <row r="384" spans="1:16" s="28" customFormat="1" hidden="1" x14ac:dyDescent="0.35">
      <c r="A384" s="1"/>
      <c r="B384" s="1"/>
      <c r="C384" s="103">
        <v>42672</v>
      </c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</row>
    <row r="385" spans="1:16" s="28" customFormat="1" hidden="1" x14ac:dyDescent="0.35">
      <c r="A385" s="1"/>
      <c r="B385" s="1"/>
      <c r="C385" s="103">
        <v>42673</v>
      </c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</row>
    <row r="386" spans="1:16" s="28" customFormat="1" hidden="1" x14ac:dyDescent="0.35">
      <c r="A386" s="1"/>
      <c r="B386" s="1"/>
      <c r="C386" s="103">
        <v>42674</v>
      </c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</row>
    <row r="387" spans="1:16" s="28" customFormat="1" hidden="1" x14ac:dyDescent="0.35">
      <c r="A387" s="1"/>
      <c r="B387" s="1"/>
      <c r="C387" s="103">
        <v>42675</v>
      </c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</row>
    <row r="388" spans="1:16" s="28" customFormat="1" hidden="1" x14ac:dyDescent="0.35">
      <c r="A388" s="1"/>
      <c r="B388" s="1"/>
      <c r="C388" s="103">
        <v>42676</v>
      </c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</row>
    <row r="389" spans="1:16" s="28" customFormat="1" hidden="1" x14ac:dyDescent="0.35">
      <c r="A389" s="1"/>
      <c r="B389" s="1"/>
      <c r="C389" s="103">
        <v>42677</v>
      </c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</row>
    <row r="390" spans="1:16" s="28" customFormat="1" hidden="1" x14ac:dyDescent="0.35">
      <c r="A390" s="1"/>
      <c r="B390" s="1"/>
      <c r="C390" s="103">
        <v>42678</v>
      </c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</row>
    <row r="391" spans="1:16" s="28" customFormat="1" hidden="1" x14ac:dyDescent="0.35">
      <c r="A391" s="1"/>
      <c r="B391" s="1"/>
      <c r="C391" s="103">
        <v>42679</v>
      </c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</row>
    <row r="392" spans="1:16" s="28" customFormat="1" hidden="1" x14ac:dyDescent="0.35">
      <c r="A392" s="1"/>
      <c r="B392" s="1"/>
      <c r="C392" s="103">
        <v>42680</v>
      </c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</row>
    <row r="393" spans="1:16" s="28" customFormat="1" hidden="1" x14ac:dyDescent="0.35">
      <c r="A393" s="1"/>
      <c r="B393" s="1"/>
      <c r="C393" s="103">
        <v>42681</v>
      </c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</row>
    <row r="394" spans="1:16" s="28" customFormat="1" hidden="1" x14ac:dyDescent="0.35">
      <c r="A394" s="1"/>
      <c r="B394" s="1"/>
      <c r="C394" s="103">
        <v>42682</v>
      </c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</row>
    <row r="395" spans="1:16" s="28" customFormat="1" hidden="1" x14ac:dyDescent="0.35">
      <c r="A395" s="1"/>
      <c r="B395" s="1"/>
      <c r="C395" s="103">
        <v>42683</v>
      </c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</row>
    <row r="396" spans="1:16" s="28" customFormat="1" hidden="1" x14ac:dyDescent="0.35">
      <c r="A396" s="1"/>
      <c r="B396" s="1"/>
      <c r="C396" s="103">
        <v>42684</v>
      </c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</row>
    <row r="397" spans="1:16" s="28" customFormat="1" hidden="1" x14ac:dyDescent="0.35">
      <c r="A397" s="1"/>
      <c r="B397" s="1"/>
      <c r="C397" s="103">
        <v>42685</v>
      </c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</row>
    <row r="398" spans="1:16" s="28" customFormat="1" hidden="1" x14ac:dyDescent="0.35">
      <c r="A398" s="1"/>
      <c r="B398" s="1"/>
      <c r="C398" s="103">
        <v>42686</v>
      </c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</row>
    <row r="399" spans="1:16" s="28" customFormat="1" hidden="1" x14ac:dyDescent="0.35">
      <c r="A399" s="1"/>
      <c r="B399" s="1"/>
      <c r="C399" s="103">
        <v>42687</v>
      </c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</row>
    <row r="400" spans="1:16" s="28" customFormat="1" hidden="1" x14ac:dyDescent="0.35">
      <c r="A400" s="1"/>
      <c r="B400" s="1"/>
      <c r="C400" s="103">
        <v>42688</v>
      </c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</row>
    <row r="401" spans="1:16" s="28" customFormat="1" hidden="1" x14ac:dyDescent="0.35">
      <c r="A401" s="1"/>
      <c r="B401" s="1"/>
      <c r="C401" s="103">
        <v>42689</v>
      </c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</row>
    <row r="402" spans="1:16" s="28" customFormat="1" hidden="1" x14ac:dyDescent="0.35">
      <c r="A402" s="1"/>
      <c r="B402" s="1"/>
      <c r="C402" s="103">
        <v>42690</v>
      </c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</row>
    <row r="403" spans="1:16" s="28" customFormat="1" hidden="1" x14ac:dyDescent="0.35">
      <c r="A403" s="1"/>
      <c r="B403" s="1"/>
      <c r="C403" s="103">
        <v>42691</v>
      </c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</row>
    <row r="404" spans="1:16" s="28" customFormat="1" hidden="1" x14ac:dyDescent="0.35">
      <c r="A404" s="1"/>
      <c r="B404" s="1"/>
      <c r="C404" s="103">
        <v>42692</v>
      </c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</row>
    <row r="405" spans="1:16" s="28" customFormat="1" hidden="1" x14ac:dyDescent="0.35">
      <c r="A405" s="1"/>
      <c r="B405" s="1"/>
      <c r="C405" s="103">
        <v>42693</v>
      </c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</row>
    <row r="406" spans="1:16" s="28" customFormat="1" hidden="1" x14ac:dyDescent="0.35">
      <c r="A406" s="1"/>
      <c r="B406" s="1"/>
      <c r="C406" s="103">
        <v>42694</v>
      </c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</row>
    <row r="407" spans="1:16" s="28" customFormat="1" hidden="1" x14ac:dyDescent="0.35">
      <c r="A407" s="1"/>
      <c r="B407" s="1"/>
      <c r="C407" s="103">
        <v>42695</v>
      </c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</row>
    <row r="408" spans="1:16" s="28" customFormat="1" hidden="1" x14ac:dyDescent="0.35">
      <c r="A408" s="1"/>
      <c r="B408" s="1"/>
      <c r="C408" s="103">
        <v>42696</v>
      </c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</row>
    <row r="409" spans="1:16" s="28" customFormat="1" hidden="1" x14ac:dyDescent="0.35">
      <c r="A409" s="1"/>
      <c r="B409" s="1"/>
      <c r="C409" s="103">
        <v>42697</v>
      </c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</row>
    <row r="410" spans="1:16" s="28" customFormat="1" hidden="1" x14ac:dyDescent="0.35">
      <c r="A410" s="1"/>
      <c r="B410" s="1"/>
      <c r="C410" s="103">
        <v>42698</v>
      </c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</row>
    <row r="411" spans="1:16" s="28" customFormat="1" hidden="1" x14ac:dyDescent="0.35">
      <c r="A411" s="1"/>
      <c r="B411" s="1"/>
      <c r="C411" s="103">
        <v>42699</v>
      </c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</row>
    <row r="412" spans="1:16" s="28" customFormat="1" hidden="1" x14ac:dyDescent="0.35">
      <c r="A412" s="1"/>
      <c r="B412" s="1"/>
      <c r="C412" s="103">
        <v>42700</v>
      </c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</row>
    <row r="413" spans="1:16" s="28" customFormat="1" hidden="1" x14ac:dyDescent="0.35">
      <c r="A413" s="1"/>
      <c r="B413" s="1"/>
      <c r="C413" s="103">
        <v>42701</v>
      </c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</row>
    <row r="414" spans="1:16" s="28" customFormat="1" hidden="1" x14ac:dyDescent="0.35">
      <c r="A414" s="1"/>
      <c r="B414" s="1"/>
      <c r="C414" s="103">
        <v>42702</v>
      </c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</row>
    <row r="415" spans="1:16" s="28" customFormat="1" hidden="1" x14ac:dyDescent="0.35">
      <c r="A415" s="1"/>
      <c r="B415" s="1"/>
      <c r="C415" s="103">
        <v>42703</v>
      </c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</row>
    <row r="416" spans="1:16" s="28" customFormat="1" hidden="1" x14ac:dyDescent="0.35">
      <c r="A416" s="1"/>
      <c r="B416" s="1"/>
      <c r="C416" s="103">
        <v>42704</v>
      </c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</row>
    <row r="417" spans="1:16" s="28" customFormat="1" hidden="1" x14ac:dyDescent="0.35">
      <c r="A417" s="1"/>
      <c r="B417" s="1"/>
      <c r="C417" s="103">
        <v>42705</v>
      </c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</row>
    <row r="418" spans="1:16" s="28" customFormat="1" hidden="1" x14ac:dyDescent="0.35">
      <c r="A418" s="1"/>
      <c r="B418" s="1"/>
      <c r="C418" s="103">
        <v>42706</v>
      </c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</row>
    <row r="419" spans="1:16" s="28" customFormat="1" hidden="1" x14ac:dyDescent="0.35">
      <c r="A419" s="1"/>
      <c r="B419" s="1"/>
      <c r="C419" s="103">
        <v>42707</v>
      </c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</row>
    <row r="420" spans="1:16" s="28" customFormat="1" hidden="1" x14ac:dyDescent="0.35">
      <c r="A420" s="1"/>
      <c r="B420" s="1"/>
      <c r="C420" s="103">
        <v>42708</v>
      </c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</row>
    <row r="421" spans="1:16" s="28" customFormat="1" hidden="1" x14ac:dyDescent="0.35">
      <c r="A421" s="1"/>
      <c r="B421" s="1"/>
      <c r="C421" s="103">
        <v>42709</v>
      </c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</row>
    <row r="422" spans="1:16" s="28" customFormat="1" hidden="1" x14ac:dyDescent="0.35">
      <c r="A422" s="1"/>
      <c r="B422" s="1"/>
      <c r="C422" s="103">
        <v>42710</v>
      </c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</row>
    <row r="423" spans="1:16" s="28" customFormat="1" hidden="1" x14ac:dyDescent="0.35">
      <c r="A423" s="1"/>
      <c r="B423" s="1"/>
      <c r="C423" s="103">
        <v>42711</v>
      </c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</row>
    <row r="424" spans="1:16" s="28" customFormat="1" hidden="1" x14ac:dyDescent="0.35">
      <c r="A424" s="1"/>
      <c r="B424" s="1"/>
      <c r="C424" s="103">
        <v>42712</v>
      </c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</row>
    <row r="425" spans="1:16" s="28" customFormat="1" hidden="1" x14ac:dyDescent="0.35">
      <c r="A425" s="1"/>
      <c r="B425" s="1"/>
      <c r="C425" s="103">
        <v>42713</v>
      </c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</row>
    <row r="426" spans="1:16" s="28" customFormat="1" hidden="1" x14ac:dyDescent="0.35">
      <c r="A426" s="1"/>
      <c r="B426" s="1"/>
      <c r="C426" s="103">
        <v>42714</v>
      </c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</row>
    <row r="427" spans="1:16" s="28" customFormat="1" hidden="1" x14ac:dyDescent="0.35">
      <c r="A427" s="1"/>
      <c r="B427" s="1"/>
      <c r="C427" s="103">
        <v>42715</v>
      </c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</row>
    <row r="428" spans="1:16" s="28" customFormat="1" hidden="1" x14ac:dyDescent="0.35">
      <c r="A428" s="1"/>
      <c r="B428" s="1"/>
      <c r="C428" s="103">
        <v>42716</v>
      </c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</row>
    <row r="429" spans="1:16" s="28" customFormat="1" hidden="1" x14ac:dyDescent="0.35">
      <c r="A429" s="1"/>
      <c r="B429" s="1"/>
      <c r="C429" s="103">
        <v>42717</v>
      </c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</row>
    <row r="430" spans="1:16" s="28" customFormat="1" hidden="1" x14ac:dyDescent="0.35">
      <c r="A430" s="1"/>
      <c r="B430" s="1"/>
      <c r="C430" s="103">
        <v>42718</v>
      </c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</row>
    <row r="431" spans="1:16" s="28" customFormat="1" hidden="1" x14ac:dyDescent="0.35">
      <c r="A431" s="1"/>
      <c r="B431" s="1"/>
      <c r="C431" s="103">
        <v>42719</v>
      </c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</row>
    <row r="432" spans="1:16" s="28" customFormat="1" hidden="1" x14ac:dyDescent="0.35">
      <c r="A432" s="1"/>
      <c r="B432" s="1"/>
      <c r="C432" s="103">
        <v>42720</v>
      </c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</row>
    <row r="433" spans="1:16" s="28" customFormat="1" hidden="1" x14ac:dyDescent="0.35">
      <c r="A433" s="1"/>
      <c r="B433" s="1"/>
      <c r="C433" s="103">
        <v>42721</v>
      </c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</row>
    <row r="434" spans="1:16" s="28" customFormat="1" hidden="1" x14ac:dyDescent="0.35">
      <c r="A434" s="1"/>
      <c r="B434" s="1"/>
      <c r="C434" s="103">
        <v>42722</v>
      </c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</row>
    <row r="435" spans="1:16" s="28" customFormat="1" hidden="1" x14ac:dyDescent="0.35">
      <c r="A435" s="1"/>
      <c r="B435" s="1"/>
      <c r="C435" s="103">
        <v>42723</v>
      </c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</row>
    <row r="436" spans="1:16" s="28" customFormat="1" hidden="1" x14ac:dyDescent="0.35">
      <c r="A436" s="1"/>
      <c r="B436" s="1"/>
      <c r="C436" s="103">
        <v>42724</v>
      </c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</row>
    <row r="437" spans="1:16" s="28" customFormat="1" hidden="1" x14ac:dyDescent="0.35">
      <c r="A437" s="1"/>
      <c r="B437" s="1"/>
      <c r="C437" s="103">
        <v>42725</v>
      </c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</row>
    <row r="438" spans="1:16" s="28" customFormat="1" hidden="1" x14ac:dyDescent="0.35">
      <c r="A438" s="1"/>
      <c r="B438" s="1"/>
      <c r="C438" s="103">
        <v>42726</v>
      </c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</row>
    <row r="439" spans="1:16" s="28" customFormat="1" hidden="1" x14ac:dyDescent="0.35">
      <c r="A439" s="1"/>
      <c r="B439" s="1"/>
      <c r="C439" s="103">
        <v>42727</v>
      </c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</row>
    <row r="440" spans="1:16" s="28" customFormat="1" hidden="1" x14ac:dyDescent="0.35">
      <c r="A440" s="1"/>
      <c r="B440" s="1"/>
      <c r="C440" s="103">
        <v>42728</v>
      </c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</row>
    <row r="441" spans="1:16" s="28" customFormat="1" hidden="1" x14ac:dyDescent="0.35">
      <c r="A441" s="1"/>
      <c r="B441" s="1"/>
      <c r="C441" s="103">
        <v>42729</v>
      </c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</row>
    <row r="442" spans="1:16" s="28" customFormat="1" hidden="1" x14ac:dyDescent="0.35">
      <c r="A442" s="1"/>
      <c r="B442" s="1"/>
      <c r="C442" s="103">
        <v>42730</v>
      </c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</row>
    <row r="443" spans="1:16" s="28" customFormat="1" hidden="1" x14ac:dyDescent="0.35">
      <c r="A443" s="1"/>
      <c r="B443" s="1"/>
      <c r="C443" s="103">
        <v>42731</v>
      </c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</row>
    <row r="444" spans="1:16" s="28" customFormat="1" hidden="1" x14ac:dyDescent="0.35">
      <c r="A444" s="1"/>
      <c r="B444" s="1"/>
      <c r="C444" s="103">
        <v>42732</v>
      </c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</row>
    <row r="445" spans="1:16" s="28" customFormat="1" hidden="1" x14ac:dyDescent="0.35">
      <c r="A445" s="1"/>
      <c r="B445" s="1"/>
      <c r="C445" s="103">
        <v>42733</v>
      </c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</row>
    <row r="446" spans="1:16" s="28" customFormat="1" hidden="1" x14ac:dyDescent="0.35">
      <c r="A446" s="1"/>
      <c r="B446" s="1"/>
      <c r="C446" s="103">
        <v>42734</v>
      </c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</row>
    <row r="447" spans="1:16" s="28" customFormat="1" hidden="1" x14ac:dyDescent="0.35">
      <c r="A447" s="1"/>
      <c r="B447" s="1"/>
      <c r="C447" s="103">
        <v>42735</v>
      </c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</row>
    <row r="448" spans="1:16" s="28" customFormat="1" hidden="1" x14ac:dyDescent="0.35">
      <c r="A448" s="1"/>
      <c r="B448" s="1"/>
      <c r="C448" s="103">
        <v>42736</v>
      </c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</row>
    <row r="449" spans="1:16" s="28" customFormat="1" hidden="1" x14ac:dyDescent="0.35">
      <c r="A449" s="1"/>
      <c r="B449" s="1"/>
      <c r="C449" s="103">
        <v>42737</v>
      </c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</row>
    <row r="450" spans="1:16" s="28" customFormat="1" hidden="1" x14ac:dyDescent="0.35">
      <c r="A450" s="1"/>
      <c r="B450" s="1"/>
      <c r="C450" s="103">
        <v>42738</v>
      </c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</row>
    <row r="451" spans="1:16" s="28" customFormat="1" hidden="1" x14ac:dyDescent="0.35">
      <c r="A451" s="1"/>
      <c r="B451" s="1"/>
      <c r="C451" s="103">
        <v>42739</v>
      </c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</row>
    <row r="452" spans="1:16" s="28" customFormat="1" hidden="1" x14ac:dyDescent="0.35">
      <c r="A452" s="1"/>
      <c r="B452" s="1"/>
      <c r="C452" s="103">
        <v>42740</v>
      </c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</row>
    <row r="453" spans="1:16" s="28" customFormat="1" hidden="1" x14ac:dyDescent="0.35">
      <c r="A453" s="1"/>
      <c r="B453" s="1"/>
      <c r="C453" s="103">
        <v>42741</v>
      </c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</row>
    <row r="454" spans="1:16" s="28" customFormat="1" hidden="1" x14ac:dyDescent="0.35">
      <c r="A454" s="1"/>
      <c r="B454" s="1"/>
      <c r="C454" s="103">
        <v>42742</v>
      </c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</row>
    <row r="455" spans="1:16" s="28" customFormat="1" hidden="1" x14ac:dyDescent="0.35">
      <c r="A455" s="1"/>
      <c r="B455" s="1"/>
      <c r="C455" s="103">
        <v>42743</v>
      </c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</row>
    <row r="456" spans="1:16" s="28" customFormat="1" hidden="1" x14ac:dyDescent="0.35">
      <c r="A456" s="1"/>
      <c r="B456" s="1"/>
      <c r="C456" s="103">
        <v>42744</v>
      </c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</row>
    <row r="457" spans="1:16" s="28" customFormat="1" hidden="1" x14ac:dyDescent="0.35">
      <c r="A457" s="1"/>
      <c r="B457" s="1"/>
      <c r="C457" s="103">
        <v>42745</v>
      </c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</row>
    <row r="458" spans="1:16" s="28" customFormat="1" hidden="1" x14ac:dyDescent="0.35">
      <c r="A458" s="1"/>
      <c r="B458" s="1"/>
      <c r="C458" s="103">
        <v>42746</v>
      </c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</row>
    <row r="459" spans="1:16" s="28" customFormat="1" hidden="1" x14ac:dyDescent="0.35">
      <c r="A459" s="1"/>
      <c r="B459" s="1"/>
      <c r="C459" s="103">
        <v>42747</v>
      </c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</row>
    <row r="460" spans="1:16" s="28" customFormat="1" hidden="1" x14ac:dyDescent="0.35">
      <c r="A460" s="1"/>
      <c r="B460" s="1"/>
      <c r="C460" s="103">
        <v>42748</v>
      </c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</row>
    <row r="461" spans="1:16" s="28" customFormat="1" hidden="1" x14ac:dyDescent="0.35">
      <c r="A461" s="1"/>
      <c r="B461" s="1"/>
      <c r="C461" s="103">
        <v>42749</v>
      </c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</row>
    <row r="462" spans="1:16" s="28" customFormat="1" hidden="1" x14ac:dyDescent="0.35">
      <c r="A462" s="1"/>
      <c r="B462" s="1"/>
      <c r="C462" s="103">
        <v>42750</v>
      </c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</row>
    <row r="463" spans="1:16" s="28" customFormat="1" hidden="1" x14ac:dyDescent="0.35">
      <c r="A463" s="1"/>
      <c r="B463" s="1"/>
      <c r="C463" s="103">
        <v>42751</v>
      </c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</row>
    <row r="464" spans="1:16" s="28" customFormat="1" hidden="1" x14ac:dyDescent="0.35">
      <c r="A464" s="1"/>
      <c r="B464" s="1"/>
      <c r="C464" s="103">
        <v>42752</v>
      </c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</row>
    <row r="465" spans="1:16" s="28" customFormat="1" hidden="1" x14ac:dyDescent="0.35">
      <c r="A465" s="1"/>
      <c r="B465" s="1"/>
      <c r="C465" s="103">
        <v>42753</v>
      </c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</row>
    <row r="466" spans="1:16" s="28" customFormat="1" hidden="1" x14ac:dyDescent="0.35">
      <c r="A466" s="1"/>
      <c r="B466" s="1"/>
      <c r="C466" s="103">
        <v>42754</v>
      </c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</row>
    <row r="467" spans="1:16" s="28" customFormat="1" hidden="1" x14ac:dyDescent="0.35">
      <c r="A467" s="1"/>
      <c r="B467" s="1"/>
      <c r="C467" s="103">
        <v>42755</v>
      </c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</row>
    <row r="468" spans="1:16" s="28" customFormat="1" hidden="1" x14ac:dyDescent="0.35">
      <c r="A468" s="1"/>
      <c r="B468" s="1"/>
      <c r="C468" s="103">
        <v>42756</v>
      </c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</row>
    <row r="469" spans="1:16" s="28" customFormat="1" hidden="1" x14ac:dyDescent="0.35">
      <c r="A469" s="1"/>
      <c r="B469" s="1"/>
      <c r="C469" s="103">
        <v>42757</v>
      </c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</row>
    <row r="470" spans="1:16" s="28" customFormat="1" hidden="1" x14ac:dyDescent="0.35">
      <c r="A470" s="1"/>
      <c r="B470" s="1"/>
      <c r="C470" s="103">
        <v>42758</v>
      </c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</row>
    <row r="471" spans="1:16" s="28" customFormat="1" hidden="1" x14ac:dyDescent="0.35">
      <c r="A471" s="1"/>
      <c r="B471" s="1"/>
      <c r="C471" s="103">
        <v>42759</v>
      </c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</row>
    <row r="472" spans="1:16" s="28" customFormat="1" hidden="1" x14ac:dyDescent="0.35">
      <c r="A472" s="1"/>
      <c r="B472" s="1"/>
      <c r="C472" s="103">
        <v>42760</v>
      </c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</row>
    <row r="473" spans="1:16" s="28" customFormat="1" hidden="1" x14ac:dyDescent="0.35">
      <c r="A473" s="1"/>
      <c r="B473" s="1"/>
      <c r="C473" s="103">
        <v>42761</v>
      </c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</row>
    <row r="474" spans="1:16" s="28" customFormat="1" hidden="1" x14ac:dyDescent="0.35">
      <c r="A474" s="1"/>
      <c r="B474" s="1"/>
      <c r="C474" s="103">
        <v>42762</v>
      </c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</row>
    <row r="475" spans="1:16" s="28" customFormat="1" hidden="1" x14ac:dyDescent="0.35">
      <c r="A475" s="1"/>
      <c r="B475" s="1"/>
      <c r="C475" s="103">
        <v>42763</v>
      </c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</row>
    <row r="476" spans="1:16" s="28" customFormat="1" hidden="1" x14ac:dyDescent="0.35">
      <c r="A476" s="1"/>
      <c r="B476" s="1"/>
      <c r="C476" s="103">
        <v>42764</v>
      </c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</row>
    <row r="477" spans="1:16" s="28" customFormat="1" hidden="1" x14ac:dyDescent="0.35">
      <c r="A477" s="1"/>
      <c r="B477" s="1"/>
      <c r="C477" s="103">
        <v>42765</v>
      </c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</row>
    <row r="478" spans="1:16" s="28" customFormat="1" hidden="1" x14ac:dyDescent="0.35">
      <c r="A478" s="1"/>
      <c r="B478" s="1"/>
      <c r="C478" s="103">
        <v>42766</v>
      </c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</row>
    <row r="479" spans="1:16" s="28" customFormat="1" hidden="1" x14ac:dyDescent="0.35">
      <c r="A479" s="1"/>
      <c r="B479" s="1"/>
      <c r="C479" s="103">
        <v>42767</v>
      </c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</row>
    <row r="480" spans="1:16" s="28" customFormat="1" hidden="1" x14ac:dyDescent="0.35">
      <c r="A480" s="1"/>
      <c r="B480" s="1"/>
      <c r="C480" s="103">
        <v>42768</v>
      </c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</row>
    <row r="481" spans="1:16" s="28" customFormat="1" hidden="1" x14ac:dyDescent="0.35">
      <c r="A481" s="1"/>
      <c r="B481" s="1"/>
      <c r="C481" s="103">
        <v>42769</v>
      </c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</row>
    <row r="482" spans="1:16" s="28" customFormat="1" hidden="1" x14ac:dyDescent="0.35">
      <c r="A482" s="1"/>
      <c r="B482" s="1"/>
      <c r="C482" s="103">
        <v>42770</v>
      </c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</row>
    <row r="483" spans="1:16" s="28" customFormat="1" hidden="1" x14ac:dyDescent="0.35">
      <c r="A483" s="1"/>
      <c r="B483" s="1"/>
      <c r="C483" s="103">
        <v>42771</v>
      </c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</row>
    <row r="484" spans="1:16" s="28" customFormat="1" hidden="1" x14ac:dyDescent="0.35">
      <c r="A484" s="1"/>
      <c r="B484" s="1"/>
      <c r="C484" s="103">
        <v>42772</v>
      </c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</row>
    <row r="485" spans="1:16" s="28" customFormat="1" hidden="1" x14ac:dyDescent="0.35">
      <c r="A485" s="1"/>
      <c r="B485" s="1"/>
      <c r="C485" s="103">
        <v>42773</v>
      </c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</row>
    <row r="486" spans="1:16" s="28" customFormat="1" hidden="1" x14ac:dyDescent="0.35">
      <c r="A486" s="1"/>
      <c r="B486" s="1"/>
      <c r="C486" s="103">
        <v>42774</v>
      </c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</row>
    <row r="487" spans="1:16" s="28" customFormat="1" hidden="1" x14ac:dyDescent="0.35">
      <c r="A487" s="1"/>
      <c r="B487" s="1"/>
      <c r="C487" s="103">
        <v>42775</v>
      </c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</row>
    <row r="488" spans="1:16" s="28" customFormat="1" hidden="1" x14ac:dyDescent="0.35">
      <c r="A488" s="1"/>
      <c r="B488" s="1"/>
      <c r="C488" s="103">
        <v>42776</v>
      </c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</row>
    <row r="489" spans="1:16" s="28" customFormat="1" hidden="1" x14ac:dyDescent="0.35">
      <c r="A489" s="1"/>
      <c r="B489" s="1"/>
      <c r="C489" s="103">
        <v>42777</v>
      </c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</row>
    <row r="490" spans="1:16" s="28" customFormat="1" hidden="1" x14ac:dyDescent="0.35">
      <c r="A490" s="1"/>
      <c r="B490" s="1"/>
      <c r="C490" s="103">
        <v>42778</v>
      </c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</row>
    <row r="491" spans="1:16" s="28" customFormat="1" hidden="1" x14ac:dyDescent="0.35">
      <c r="A491" s="1"/>
      <c r="B491" s="1"/>
      <c r="C491" s="103">
        <v>42779</v>
      </c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</row>
    <row r="492" spans="1:16" s="28" customFormat="1" hidden="1" x14ac:dyDescent="0.35">
      <c r="A492" s="1"/>
      <c r="B492" s="1"/>
      <c r="C492" s="103">
        <v>42780</v>
      </c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</row>
    <row r="493" spans="1:16" s="28" customFormat="1" hidden="1" x14ac:dyDescent="0.35">
      <c r="A493" s="1"/>
      <c r="B493" s="1"/>
      <c r="C493" s="103">
        <v>42781</v>
      </c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</row>
    <row r="494" spans="1:16" s="28" customFormat="1" hidden="1" x14ac:dyDescent="0.35">
      <c r="A494" s="1"/>
      <c r="B494" s="1"/>
      <c r="C494" s="103">
        <v>42782</v>
      </c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</row>
    <row r="495" spans="1:16" s="28" customFormat="1" hidden="1" x14ac:dyDescent="0.35">
      <c r="A495" s="1"/>
      <c r="B495" s="1"/>
      <c r="C495" s="103">
        <v>42783</v>
      </c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</row>
    <row r="496" spans="1:16" s="28" customFormat="1" hidden="1" x14ac:dyDescent="0.35">
      <c r="A496" s="1"/>
      <c r="B496" s="1"/>
      <c r="C496" s="103">
        <v>42784</v>
      </c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</row>
    <row r="497" spans="1:16" s="28" customFormat="1" hidden="1" x14ac:dyDescent="0.35">
      <c r="A497" s="1"/>
      <c r="B497" s="1"/>
      <c r="C497" s="103">
        <v>42785</v>
      </c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</row>
    <row r="498" spans="1:16" s="28" customFormat="1" hidden="1" x14ac:dyDescent="0.35">
      <c r="A498" s="1"/>
      <c r="B498" s="1"/>
      <c r="C498" s="103">
        <v>42786</v>
      </c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</row>
    <row r="499" spans="1:16" s="28" customFormat="1" hidden="1" x14ac:dyDescent="0.35">
      <c r="A499" s="1"/>
      <c r="B499" s="1"/>
      <c r="C499" s="103">
        <v>42787</v>
      </c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</row>
    <row r="500" spans="1:16" s="28" customFormat="1" hidden="1" x14ac:dyDescent="0.35">
      <c r="A500" s="1"/>
      <c r="B500" s="1"/>
      <c r="C500" s="103">
        <v>42788</v>
      </c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</row>
    <row r="501" spans="1:16" s="28" customFormat="1" hidden="1" x14ac:dyDescent="0.35">
      <c r="A501" s="1"/>
      <c r="B501" s="1"/>
      <c r="C501" s="103">
        <v>42789</v>
      </c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</row>
    <row r="502" spans="1:16" s="28" customFormat="1" hidden="1" x14ac:dyDescent="0.35">
      <c r="A502" s="1"/>
      <c r="B502" s="1"/>
      <c r="C502" s="103">
        <v>42790</v>
      </c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</row>
    <row r="503" spans="1:16" s="28" customFormat="1" hidden="1" x14ac:dyDescent="0.35">
      <c r="A503" s="1"/>
      <c r="B503" s="1"/>
      <c r="C503" s="103">
        <v>42791</v>
      </c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</row>
    <row r="504" spans="1:16" s="28" customFormat="1" hidden="1" x14ac:dyDescent="0.35">
      <c r="A504" s="1"/>
      <c r="B504" s="1"/>
      <c r="C504" s="103">
        <v>42792</v>
      </c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</row>
    <row r="505" spans="1:16" s="28" customFormat="1" hidden="1" x14ac:dyDescent="0.35">
      <c r="A505" s="1"/>
      <c r="B505" s="1"/>
      <c r="C505" s="103">
        <v>42793</v>
      </c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</row>
    <row r="506" spans="1:16" s="28" customFormat="1" hidden="1" x14ac:dyDescent="0.35">
      <c r="A506" s="1"/>
      <c r="B506" s="1"/>
      <c r="C506" s="103">
        <v>42794</v>
      </c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</row>
    <row r="507" spans="1:16" s="28" customFormat="1" hidden="1" x14ac:dyDescent="0.35">
      <c r="A507" s="1"/>
      <c r="B507" s="1"/>
      <c r="C507" s="103">
        <v>42795</v>
      </c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</row>
    <row r="508" spans="1:16" s="28" customFormat="1" hidden="1" x14ac:dyDescent="0.35">
      <c r="A508" s="1"/>
      <c r="B508" s="1"/>
      <c r="C508" s="103">
        <v>42796</v>
      </c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</row>
    <row r="509" spans="1:16" s="28" customFormat="1" hidden="1" x14ac:dyDescent="0.35">
      <c r="A509" s="1"/>
      <c r="B509" s="1"/>
      <c r="C509" s="103">
        <v>42797</v>
      </c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</row>
    <row r="510" spans="1:16" s="28" customFormat="1" hidden="1" x14ac:dyDescent="0.35">
      <c r="A510" s="1"/>
      <c r="B510" s="1"/>
      <c r="C510" s="103">
        <v>42798</v>
      </c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</row>
    <row r="511" spans="1:16" s="28" customFormat="1" hidden="1" x14ac:dyDescent="0.35">
      <c r="A511" s="1"/>
      <c r="B511" s="1"/>
      <c r="C511" s="103">
        <v>42799</v>
      </c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</row>
    <row r="512" spans="1:16" s="28" customFormat="1" hidden="1" x14ac:dyDescent="0.35">
      <c r="A512" s="1"/>
      <c r="B512" s="1"/>
      <c r="C512" s="103">
        <v>42800</v>
      </c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</row>
    <row r="513" spans="1:16" s="28" customFormat="1" hidden="1" x14ac:dyDescent="0.35">
      <c r="A513" s="1"/>
      <c r="B513" s="1"/>
      <c r="C513" s="103">
        <v>42801</v>
      </c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</row>
    <row r="514" spans="1:16" s="28" customFormat="1" hidden="1" x14ac:dyDescent="0.35">
      <c r="A514" s="1"/>
      <c r="B514" s="1"/>
      <c r="C514" s="103">
        <v>42802</v>
      </c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</row>
    <row r="515" spans="1:16" s="28" customFormat="1" hidden="1" x14ac:dyDescent="0.35">
      <c r="A515" s="1"/>
      <c r="B515" s="1"/>
      <c r="C515" s="103">
        <v>42803</v>
      </c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</row>
    <row r="516" spans="1:16" s="28" customFormat="1" hidden="1" x14ac:dyDescent="0.35">
      <c r="A516" s="1"/>
      <c r="B516" s="1"/>
      <c r="C516" s="103">
        <v>42804</v>
      </c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</row>
    <row r="517" spans="1:16" s="28" customFormat="1" hidden="1" x14ac:dyDescent="0.35">
      <c r="A517" s="1"/>
      <c r="B517" s="1"/>
      <c r="C517" s="103">
        <v>42805</v>
      </c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</row>
    <row r="518" spans="1:16" s="28" customFormat="1" hidden="1" x14ac:dyDescent="0.35">
      <c r="A518" s="1"/>
      <c r="B518" s="1"/>
      <c r="C518" s="103">
        <v>42806</v>
      </c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</row>
    <row r="519" spans="1:16" s="28" customFormat="1" hidden="1" x14ac:dyDescent="0.35">
      <c r="A519" s="1"/>
      <c r="B519" s="1"/>
      <c r="C519" s="103">
        <v>42807</v>
      </c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</row>
    <row r="520" spans="1:16" s="28" customFormat="1" hidden="1" x14ac:dyDescent="0.35">
      <c r="A520" s="1"/>
      <c r="B520" s="1"/>
      <c r="C520" s="103">
        <v>42808</v>
      </c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</row>
    <row r="521" spans="1:16" s="28" customFormat="1" hidden="1" x14ac:dyDescent="0.35">
      <c r="A521" s="1"/>
      <c r="B521" s="1"/>
      <c r="C521" s="103">
        <v>42809</v>
      </c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</row>
    <row r="522" spans="1:16" s="28" customFormat="1" hidden="1" x14ac:dyDescent="0.35">
      <c r="A522" s="1"/>
      <c r="B522" s="1"/>
      <c r="C522" s="103">
        <v>42810</v>
      </c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</row>
    <row r="523" spans="1:16" s="28" customFormat="1" hidden="1" x14ac:dyDescent="0.35">
      <c r="A523" s="1"/>
      <c r="B523" s="1"/>
      <c r="C523" s="103">
        <v>42811</v>
      </c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</row>
    <row r="524" spans="1:16" s="28" customFormat="1" hidden="1" x14ac:dyDescent="0.35">
      <c r="A524" s="1"/>
      <c r="B524" s="1"/>
      <c r="C524" s="103">
        <v>42812</v>
      </c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</row>
    <row r="525" spans="1:16" s="28" customFormat="1" hidden="1" x14ac:dyDescent="0.35">
      <c r="A525" s="1"/>
      <c r="B525" s="1"/>
      <c r="C525" s="103">
        <v>42813</v>
      </c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</row>
    <row r="526" spans="1:16" s="28" customFormat="1" hidden="1" x14ac:dyDescent="0.35">
      <c r="A526" s="1"/>
      <c r="B526" s="1"/>
      <c r="C526" s="103">
        <v>42814</v>
      </c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</row>
    <row r="527" spans="1:16" s="28" customFormat="1" hidden="1" x14ac:dyDescent="0.35">
      <c r="A527" s="1"/>
      <c r="B527" s="1"/>
      <c r="C527" s="103">
        <v>42815</v>
      </c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</row>
    <row r="528" spans="1:16" s="28" customFormat="1" hidden="1" x14ac:dyDescent="0.35">
      <c r="A528" s="1"/>
      <c r="B528" s="1"/>
      <c r="C528" s="103">
        <v>42816</v>
      </c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</row>
    <row r="529" spans="1:16" s="28" customFormat="1" hidden="1" x14ac:dyDescent="0.35">
      <c r="A529" s="1"/>
      <c r="B529" s="1"/>
      <c r="C529" s="103">
        <v>42817</v>
      </c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</row>
    <row r="530" spans="1:16" s="28" customFormat="1" hidden="1" x14ac:dyDescent="0.35">
      <c r="A530" s="1"/>
      <c r="B530" s="1"/>
      <c r="C530" s="103">
        <v>42818</v>
      </c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</row>
    <row r="531" spans="1:16" s="28" customFormat="1" hidden="1" x14ac:dyDescent="0.35">
      <c r="A531" s="1"/>
      <c r="B531" s="1"/>
      <c r="C531" s="103">
        <v>42819</v>
      </c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</row>
    <row r="532" spans="1:16" s="28" customFormat="1" hidden="1" x14ac:dyDescent="0.35">
      <c r="A532" s="1"/>
      <c r="B532" s="1"/>
      <c r="C532" s="103">
        <v>42820</v>
      </c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</row>
    <row r="533" spans="1:16" s="28" customFormat="1" hidden="1" x14ac:dyDescent="0.35">
      <c r="A533" s="1"/>
      <c r="B533" s="1"/>
      <c r="C533" s="103">
        <v>42821</v>
      </c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</row>
    <row r="534" spans="1:16" s="28" customFormat="1" hidden="1" x14ac:dyDescent="0.35">
      <c r="A534" s="1"/>
      <c r="B534" s="1"/>
      <c r="C534" s="103">
        <v>42822</v>
      </c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</row>
    <row r="535" spans="1:16" s="28" customFormat="1" hidden="1" x14ac:dyDescent="0.35">
      <c r="A535" s="1"/>
      <c r="B535" s="1"/>
      <c r="C535" s="103">
        <v>42823</v>
      </c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</row>
    <row r="536" spans="1:16" s="28" customFormat="1" hidden="1" x14ac:dyDescent="0.35">
      <c r="A536" s="1"/>
      <c r="B536" s="1"/>
      <c r="C536" s="103">
        <v>42824</v>
      </c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</row>
    <row r="537" spans="1:16" s="28" customFormat="1" hidden="1" x14ac:dyDescent="0.35">
      <c r="A537" s="1"/>
      <c r="B537" s="1"/>
      <c r="C537" s="103">
        <v>42825</v>
      </c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</row>
    <row r="538" spans="1:16" s="28" customFormat="1" hidden="1" x14ac:dyDescent="0.35">
      <c r="A538" s="1"/>
      <c r="B538" s="1"/>
      <c r="C538" s="103">
        <v>42826</v>
      </c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</row>
    <row r="539" spans="1:16" s="28" customFormat="1" hidden="1" x14ac:dyDescent="0.35">
      <c r="A539" s="1"/>
      <c r="B539" s="1"/>
      <c r="C539" s="103">
        <v>42827</v>
      </c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</row>
    <row r="540" spans="1:16" s="28" customFormat="1" hidden="1" x14ac:dyDescent="0.35">
      <c r="A540" s="1"/>
      <c r="B540" s="1"/>
      <c r="C540" s="103">
        <v>42828</v>
      </c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</row>
    <row r="541" spans="1:16" s="28" customFormat="1" hidden="1" x14ac:dyDescent="0.35">
      <c r="A541" s="1"/>
      <c r="B541" s="1"/>
      <c r="C541" s="103">
        <v>42829</v>
      </c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</row>
    <row r="542" spans="1:16" s="28" customFormat="1" hidden="1" x14ac:dyDescent="0.35">
      <c r="A542" s="1"/>
      <c r="B542" s="1"/>
      <c r="C542" s="103">
        <v>42830</v>
      </c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</row>
    <row r="543" spans="1:16" s="28" customFormat="1" hidden="1" x14ac:dyDescent="0.35">
      <c r="A543" s="1"/>
      <c r="B543" s="1"/>
      <c r="C543" s="103">
        <v>42831</v>
      </c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</row>
    <row r="544" spans="1:16" s="28" customFormat="1" hidden="1" x14ac:dyDescent="0.35">
      <c r="A544" s="1"/>
      <c r="B544" s="1"/>
      <c r="C544" s="103">
        <v>42832</v>
      </c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</row>
    <row r="545" spans="1:16" s="28" customFormat="1" hidden="1" x14ac:dyDescent="0.35">
      <c r="A545" s="1"/>
      <c r="B545" s="1"/>
      <c r="C545" s="103">
        <v>42833</v>
      </c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</row>
    <row r="546" spans="1:16" s="28" customFormat="1" hidden="1" x14ac:dyDescent="0.35">
      <c r="A546" s="1"/>
      <c r="B546" s="1"/>
      <c r="C546" s="103">
        <v>42834</v>
      </c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</row>
    <row r="547" spans="1:16" s="28" customFormat="1" hidden="1" x14ac:dyDescent="0.35">
      <c r="A547" s="1"/>
      <c r="B547" s="1"/>
      <c r="C547" s="103">
        <v>42835</v>
      </c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</row>
    <row r="548" spans="1:16" s="28" customFormat="1" hidden="1" x14ac:dyDescent="0.35">
      <c r="A548" s="1"/>
      <c r="B548" s="1"/>
      <c r="C548" s="103">
        <v>42836</v>
      </c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</row>
    <row r="549" spans="1:16" s="28" customFormat="1" hidden="1" x14ac:dyDescent="0.35">
      <c r="A549" s="1"/>
      <c r="B549" s="1"/>
      <c r="C549" s="103">
        <v>42837</v>
      </c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</row>
    <row r="550" spans="1:16" s="28" customFormat="1" hidden="1" x14ac:dyDescent="0.35">
      <c r="A550" s="1"/>
      <c r="B550" s="1"/>
      <c r="C550" s="103">
        <v>42838</v>
      </c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</row>
    <row r="551" spans="1:16" s="28" customFormat="1" hidden="1" x14ac:dyDescent="0.35">
      <c r="A551" s="1"/>
      <c r="B551" s="1"/>
      <c r="C551" s="103">
        <v>42839</v>
      </c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</row>
    <row r="552" spans="1:16" s="28" customFormat="1" hidden="1" x14ac:dyDescent="0.35">
      <c r="A552" s="1"/>
      <c r="B552" s="1"/>
      <c r="C552" s="103">
        <v>42840</v>
      </c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</row>
    <row r="553" spans="1:16" s="28" customFormat="1" hidden="1" x14ac:dyDescent="0.35">
      <c r="A553" s="1"/>
      <c r="B553" s="1"/>
      <c r="C553" s="103">
        <v>42841</v>
      </c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</row>
    <row r="554" spans="1:16" s="28" customFormat="1" hidden="1" x14ac:dyDescent="0.35">
      <c r="A554" s="1"/>
      <c r="B554" s="1"/>
      <c r="C554" s="103">
        <v>42842</v>
      </c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</row>
    <row r="555" spans="1:16" s="28" customFormat="1" hidden="1" x14ac:dyDescent="0.35">
      <c r="A555" s="1"/>
      <c r="B555" s="1"/>
      <c r="C555" s="103">
        <v>42843</v>
      </c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</row>
    <row r="556" spans="1:16" s="28" customFormat="1" hidden="1" x14ac:dyDescent="0.35">
      <c r="A556" s="1"/>
      <c r="B556" s="1"/>
      <c r="C556" s="103">
        <v>42844</v>
      </c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</row>
    <row r="557" spans="1:16" s="28" customFormat="1" hidden="1" x14ac:dyDescent="0.35">
      <c r="A557" s="1"/>
      <c r="B557" s="1"/>
      <c r="C557" s="103">
        <v>42845</v>
      </c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</row>
    <row r="558" spans="1:16" s="28" customFormat="1" hidden="1" x14ac:dyDescent="0.35">
      <c r="A558" s="1"/>
      <c r="B558" s="1"/>
      <c r="C558" s="103">
        <v>42846</v>
      </c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</row>
    <row r="559" spans="1:16" s="28" customFormat="1" hidden="1" x14ac:dyDescent="0.35">
      <c r="A559" s="1"/>
      <c r="B559" s="1"/>
      <c r="C559" s="103">
        <v>42847</v>
      </c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</row>
    <row r="560" spans="1:16" s="28" customFormat="1" hidden="1" x14ac:dyDescent="0.35">
      <c r="A560" s="1"/>
      <c r="B560" s="1"/>
      <c r="C560" s="103">
        <v>42848</v>
      </c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</row>
    <row r="561" spans="1:16" s="28" customFormat="1" hidden="1" x14ac:dyDescent="0.35">
      <c r="A561" s="1"/>
      <c r="B561" s="1"/>
      <c r="C561" s="103">
        <v>42849</v>
      </c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</row>
    <row r="562" spans="1:16" s="28" customFormat="1" hidden="1" x14ac:dyDescent="0.35">
      <c r="A562" s="1"/>
      <c r="B562" s="1"/>
      <c r="C562" s="103">
        <v>42850</v>
      </c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</row>
    <row r="563" spans="1:16" s="28" customFormat="1" hidden="1" x14ac:dyDescent="0.35">
      <c r="A563" s="1"/>
      <c r="B563" s="1"/>
      <c r="C563" s="103">
        <v>42851</v>
      </c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</row>
    <row r="564" spans="1:16" s="28" customFormat="1" hidden="1" x14ac:dyDescent="0.35">
      <c r="A564" s="1"/>
      <c r="B564" s="1"/>
      <c r="C564" s="103">
        <v>42852</v>
      </c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</row>
    <row r="565" spans="1:16" s="28" customFormat="1" hidden="1" x14ac:dyDescent="0.35">
      <c r="A565" s="1"/>
      <c r="B565" s="1"/>
      <c r="C565" s="103">
        <v>42853</v>
      </c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</row>
    <row r="566" spans="1:16" s="28" customFormat="1" hidden="1" x14ac:dyDescent="0.35">
      <c r="A566" s="1"/>
      <c r="B566" s="1"/>
      <c r="C566" s="103">
        <v>42854</v>
      </c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</row>
    <row r="567" spans="1:16" s="28" customFormat="1" hidden="1" x14ac:dyDescent="0.35">
      <c r="A567" s="1"/>
      <c r="B567" s="1"/>
      <c r="C567" s="103">
        <v>42855</v>
      </c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</row>
    <row r="568" spans="1:16" s="28" customFormat="1" hidden="1" x14ac:dyDescent="0.35">
      <c r="A568" s="1"/>
      <c r="B568" s="1"/>
      <c r="C568" s="103">
        <v>42856</v>
      </c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</row>
    <row r="569" spans="1:16" s="28" customFormat="1" hidden="1" x14ac:dyDescent="0.35">
      <c r="A569" s="1"/>
      <c r="B569" s="1"/>
      <c r="C569" s="103">
        <v>42857</v>
      </c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</row>
    <row r="570" spans="1:16" s="28" customFormat="1" hidden="1" x14ac:dyDescent="0.35">
      <c r="A570" s="1"/>
      <c r="B570" s="1"/>
      <c r="C570" s="103">
        <v>42858</v>
      </c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</row>
    <row r="571" spans="1:16" s="28" customFormat="1" hidden="1" x14ac:dyDescent="0.35">
      <c r="A571" s="1"/>
      <c r="B571" s="1"/>
      <c r="C571" s="103">
        <v>42859</v>
      </c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</row>
    <row r="572" spans="1:16" s="28" customFormat="1" hidden="1" x14ac:dyDescent="0.35">
      <c r="A572" s="1"/>
      <c r="B572" s="1"/>
      <c r="C572" s="103">
        <v>42860</v>
      </c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</row>
    <row r="573" spans="1:16" s="28" customFormat="1" hidden="1" x14ac:dyDescent="0.35">
      <c r="A573" s="1"/>
      <c r="B573" s="1"/>
      <c r="C573" s="103">
        <v>42861</v>
      </c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</row>
    <row r="574" spans="1:16" s="28" customFormat="1" hidden="1" x14ac:dyDescent="0.35">
      <c r="A574" s="1"/>
      <c r="B574" s="1"/>
      <c r="C574" s="103">
        <v>42862</v>
      </c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</row>
    <row r="575" spans="1:16" s="28" customFormat="1" hidden="1" x14ac:dyDescent="0.35">
      <c r="A575" s="1"/>
      <c r="B575" s="1"/>
      <c r="C575" s="103">
        <v>42863</v>
      </c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</row>
    <row r="576" spans="1:16" s="28" customFormat="1" hidden="1" x14ac:dyDescent="0.35">
      <c r="A576" s="1"/>
      <c r="B576" s="1"/>
      <c r="C576" s="103">
        <v>42864</v>
      </c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</row>
    <row r="577" spans="1:16" s="28" customFormat="1" hidden="1" x14ac:dyDescent="0.35">
      <c r="A577" s="1"/>
      <c r="B577" s="1"/>
      <c r="C577" s="103">
        <v>42865</v>
      </c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</row>
    <row r="578" spans="1:16" s="28" customFormat="1" hidden="1" x14ac:dyDescent="0.35">
      <c r="A578" s="1"/>
      <c r="B578" s="1"/>
      <c r="C578" s="103">
        <v>42866</v>
      </c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</row>
    <row r="579" spans="1:16" s="28" customFormat="1" hidden="1" x14ac:dyDescent="0.35">
      <c r="A579" s="1"/>
      <c r="B579" s="1"/>
      <c r="C579" s="103">
        <v>42867</v>
      </c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</row>
    <row r="580" spans="1:16" s="28" customFormat="1" hidden="1" x14ac:dyDescent="0.35">
      <c r="A580" s="1"/>
      <c r="B580" s="1"/>
      <c r="C580" s="103">
        <v>42868</v>
      </c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</row>
    <row r="581" spans="1:16" s="28" customFormat="1" hidden="1" x14ac:dyDescent="0.35">
      <c r="A581" s="1"/>
      <c r="B581" s="1"/>
      <c r="C581" s="103">
        <v>42869</v>
      </c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</row>
    <row r="582" spans="1:16" s="28" customFormat="1" hidden="1" x14ac:dyDescent="0.35">
      <c r="A582" s="1"/>
      <c r="B582" s="1"/>
      <c r="C582" s="103">
        <v>42870</v>
      </c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</row>
    <row r="583" spans="1:16" s="28" customFormat="1" hidden="1" x14ac:dyDescent="0.35">
      <c r="A583" s="1"/>
      <c r="B583" s="1"/>
      <c r="C583" s="103">
        <v>42871</v>
      </c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</row>
    <row r="584" spans="1:16" s="28" customFormat="1" hidden="1" x14ac:dyDescent="0.35">
      <c r="A584" s="1"/>
      <c r="B584" s="1"/>
      <c r="C584" s="103">
        <v>42872</v>
      </c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</row>
    <row r="585" spans="1:16" s="28" customFormat="1" hidden="1" x14ac:dyDescent="0.35">
      <c r="A585" s="1"/>
      <c r="B585" s="1"/>
      <c r="C585" s="103">
        <v>42873</v>
      </c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</row>
    <row r="586" spans="1:16" s="28" customFormat="1" hidden="1" x14ac:dyDescent="0.35">
      <c r="A586" s="1"/>
      <c r="B586" s="1"/>
      <c r="C586" s="103">
        <v>42874</v>
      </c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</row>
    <row r="587" spans="1:16" s="28" customFormat="1" hidden="1" x14ac:dyDescent="0.35">
      <c r="A587" s="1"/>
      <c r="B587" s="1"/>
      <c r="C587" s="103">
        <v>42875</v>
      </c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</row>
    <row r="588" spans="1:16" s="28" customFormat="1" hidden="1" x14ac:dyDescent="0.35">
      <c r="A588" s="1"/>
      <c r="B588" s="1"/>
      <c r="C588" s="103">
        <v>42876</v>
      </c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</row>
    <row r="589" spans="1:16" s="28" customFormat="1" hidden="1" x14ac:dyDescent="0.35">
      <c r="A589" s="1"/>
      <c r="B589" s="1"/>
      <c r="C589" s="103">
        <v>42877</v>
      </c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</row>
    <row r="590" spans="1:16" s="28" customFormat="1" hidden="1" x14ac:dyDescent="0.35">
      <c r="A590" s="1"/>
      <c r="B590" s="1"/>
      <c r="C590" s="103">
        <v>42878</v>
      </c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</row>
    <row r="591" spans="1:16" s="28" customFormat="1" hidden="1" x14ac:dyDescent="0.35">
      <c r="A591" s="1"/>
      <c r="B591" s="1"/>
      <c r="C591" s="103">
        <v>42879</v>
      </c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</row>
    <row r="592" spans="1:16" s="28" customFormat="1" hidden="1" x14ac:dyDescent="0.35">
      <c r="A592" s="1"/>
      <c r="B592" s="1"/>
      <c r="C592" s="103">
        <v>42880</v>
      </c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</row>
    <row r="593" spans="1:16" s="28" customFormat="1" hidden="1" x14ac:dyDescent="0.35">
      <c r="A593" s="1"/>
      <c r="B593" s="1"/>
      <c r="C593" s="103">
        <v>42881</v>
      </c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</row>
    <row r="594" spans="1:16" s="28" customFormat="1" hidden="1" x14ac:dyDescent="0.35">
      <c r="A594" s="1"/>
      <c r="B594" s="1"/>
      <c r="C594" s="103">
        <v>42882</v>
      </c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</row>
    <row r="595" spans="1:16" s="28" customFormat="1" hidden="1" x14ac:dyDescent="0.35">
      <c r="A595" s="1"/>
      <c r="B595" s="1"/>
      <c r="C595" s="103">
        <v>42883</v>
      </c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</row>
    <row r="596" spans="1:16" s="28" customFormat="1" hidden="1" x14ac:dyDescent="0.35">
      <c r="A596" s="1"/>
      <c r="B596" s="1"/>
      <c r="C596" s="103">
        <v>42884</v>
      </c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</row>
    <row r="597" spans="1:16" s="28" customFormat="1" hidden="1" x14ac:dyDescent="0.35">
      <c r="A597" s="1"/>
      <c r="B597" s="1"/>
      <c r="C597" s="103">
        <v>42885</v>
      </c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</row>
    <row r="598" spans="1:16" s="28" customFormat="1" hidden="1" x14ac:dyDescent="0.35">
      <c r="A598" s="1"/>
      <c r="B598" s="1"/>
      <c r="C598" s="103">
        <v>42886</v>
      </c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</row>
    <row r="599" spans="1:16" s="28" customFormat="1" hidden="1" x14ac:dyDescent="0.35">
      <c r="A599" s="1"/>
      <c r="B599" s="1"/>
      <c r="C599" s="103">
        <v>42887</v>
      </c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</row>
    <row r="600" spans="1:16" s="28" customFormat="1" hidden="1" x14ac:dyDescent="0.35">
      <c r="A600" s="1"/>
      <c r="B600" s="1"/>
      <c r="C600" s="103">
        <v>42888</v>
      </c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</row>
    <row r="601" spans="1:16" s="28" customFormat="1" hidden="1" x14ac:dyDescent="0.35">
      <c r="A601" s="1"/>
      <c r="B601" s="1"/>
      <c r="C601" s="103">
        <v>42889</v>
      </c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</row>
    <row r="602" spans="1:16" s="28" customFormat="1" hidden="1" x14ac:dyDescent="0.35">
      <c r="A602" s="1"/>
      <c r="B602" s="1"/>
      <c r="C602" s="103">
        <v>42890</v>
      </c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</row>
    <row r="603" spans="1:16" s="28" customFormat="1" hidden="1" x14ac:dyDescent="0.35">
      <c r="A603" s="1"/>
      <c r="B603" s="1"/>
      <c r="C603" s="103">
        <v>42891</v>
      </c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</row>
    <row r="604" spans="1:16" s="28" customFormat="1" hidden="1" x14ac:dyDescent="0.35">
      <c r="A604" s="1"/>
      <c r="B604" s="1"/>
      <c r="C604" s="103">
        <v>42892</v>
      </c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</row>
    <row r="605" spans="1:16" s="28" customFormat="1" hidden="1" x14ac:dyDescent="0.35">
      <c r="A605" s="1"/>
      <c r="B605" s="1"/>
      <c r="C605" s="103">
        <v>42893</v>
      </c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</row>
    <row r="606" spans="1:16" s="28" customFormat="1" hidden="1" x14ac:dyDescent="0.35">
      <c r="A606" s="1"/>
      <c r="B606" s="1"/>
      <c r="C606" s="103">
        <v>42894</v>
      </c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</row>
    <row r="607" spans="1:16" s="28" customFormat="1" hidden="1" x14ac:dyDescent="0.35">
      <c r="A607" s="1"/>
      <c r="B607" s="1"/>
      <c r="C607" s="103">
        <v>42895</v>
      </c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</row>
    <row r="608" spans="1:16" s="28" customFormat="1" hidden="1" x14ac:dyDescent="0.35">
      <c r="A608" s="1"/>
      <c r="B608" s="1"/>
      <c r="C608" s="103">
        <v>42896</v>
      </c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</row>
    <row r="609" spans="1:16" s="28" customFormat="1" hidden="1" x14ac:dyDescent="0.35">
      <c r="A609" s="1"/>
      <c r="B609" s="1"/>
      <c r="C609" s="103">
        <v>42897</v>
      </c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</row>
    <row r="610" spans="1:16" s="28" customFormat="1" hidden="1" x14ac:dyDescent="0.35">
      <c r="A610" s="1"/>
      <c r="B610" s="1"/>
      <c r="C610" s="103">
        <v>42898</v>
      </c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</row>
    <row r="611" spans="1:16" s="28" customFormat="1" hidden="1" x14ac:dyDescent="0.35">
      <c r="A611" s="1"/>
      <c r="B611" s="1"/>
      <c r="C611" s="103">
        <v>42899</v>
      </c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</row>
    <row r="612" spans="1:16" s="28" customFormat="1" hidden="1" x14ac:dyDescent="0.35">
      <c r="A612" s="1"/>
      <c r="B612" s="1"/>
      <c r="C612" s="103">
        <v>42900</v>
      </c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</row>
    <row r="613" spans="1:16" s="28" customFormat="1" hidden="1" x14ac:dyDescent="0.35">
      <c r="A613" s="1"/>
      <c r="B613" s="1"/>
      <c r="C613" s="103">
        <v>42901</v>
      </c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</row>
    <row r="614" spans="1:16" s="28" customFormat="1" hidden="1" x14ac:dyDescent="0.35">
      <c r="A614" s="1"/>
      <c r="B614" s="1"/>
      <c r="C614" s="103">
        <v>42902</v>
      </c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</row>
    <row r="615" spans="1:16" s="28" customFormat="1" hidden="1" x14ac:dyDescent="0.35">
      <c r="A615" s="1"/>
      <c r="B615" s="1"/>
      <c r="C615" s="103">
        <v>42903</v>
      </c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</row>
    <row r="616" spans="1:16" s="28" customFormat="1" hidden="1" x14ac:dyDescent="0.35">
      <c r="A616" s="1"/>
      <c r="B616" s="1"/>
      <c r="C616" s="103">
        <v>42904</v>
      </c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</row>
    <row r="617" spans="1:16" s="28" customFormat="1" hidden="1" x14ac:dyDescent="0.35">
      <c r="A617" s="1"/>
      <c r="B617" s="1"/>
      <c r="C617" s="103">
        <v>42905</v>
      </c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</row>
    <row r="618" spans="1:16" s="28" customFormat="1" hidden="1" x14ac:dyDescent="0.35">
      <c r="A618" s="1"/>
      <c r="B618" s="1"/>
      <c r="C618" s="103">
        <v>42906</v>
      </c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</row>
    <row r="619" spans="1:16" s="28" customFormat="1" hidden="1" x14ac:dyDescent="0.35">
      <c r="A619" s="1"/>
      <c r="B619" s="1"/>
      <c r="C619" s="103">
        <v>42907</v>
      </c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</row>
    <row r="620" spans="1:16" s="28" customFormat="1" hidden="1" x14ac:dyDescent="0.35">
      <c r="A620" s="1"/>
      <c r="B620" s="1"/>
      <c r="C620" s="103">
        <v>42908</v>
      </c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</row>
    <row r="621" spans="1:16" s="28" customFormat="1" hidden="1" x14ac:dyDescent="0.35">
      <c r="A621" s="1"/>
      <c r="B621" s="1"/>
      <c r="C621" s="103">
        <v>42909</v>
      </c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</row>
    <row r="622" spans="1:16" s="28" customFormat="1" hidden="1" x14ac:dyDescent="0.35">
      <c r="A622" s="1"/>
      <c r="B622" s="1"/>
      <c r="C622" s="103">
        <v>42910</v>
      </c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</row>
    <row r="623" spans="1:16" s="28" customFormat="1" hidden="1" x14ac:dyDescent="0.35">
      <c r="A623" s="1"/>
      <c r="B623" s="1"/>
      <c r="C623" s="103">
        <v>42911</v>
      </c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</row>
    <row r="624" spans="1:16" s="28" customFormat="1" hidden="1" x14ac:dyDescent="0.35">
      <c r="A624" s="1"/>
      <c r="B624" s="1"/>
      <c r="C624" s="103">
        <v>42912</v>
      </c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</row>
    <row r="625" spans="1:16" s="28" customFormat="1" hidden="1" x14ac:dyDescent="0.35">
      <c r="A625" s="1"/>
      <c r="B625" s="1"/>
      <c r="C625" s="103">
        <v>42913</v>
      </c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</row>
    <row r="626" spans="1:16" s="28" customFormat="1" hidden="1" x14ac:dyDescent="0.35">
      <c r="A626" s="1"/>
      <c r="B626" s="1"/>
      <c r="C626" s="103">
        <v>42914</v>
      </c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</row>
    <row r="627" spans="1:16" s="28" customFormat="1" hidden="1" x14ac:dyDescent="0.35">
      <c r="A627" s="1"/>
      <c r="B627" s="1"/>
      <c r="C627" s="103">
        <v>42915</v>
      </c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</row>
    <row r="628" spans="1:16" s="28" customFormat="1" hidden="1" x14ac:dyDescent="0.35">
      <c r="A628" s="1"/>
      <c r="B628" s="1"/>
      <c r="C628" s="103">
        <v>42916</v>
      </c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</row>
    <row r="629" spans="1:16" s="28" customFormat="1" hidden="1" x14ac:dyDescent="0.35">
      <c r="A629" s="1"/>
      <c r="B629" s="1"/>
      <c r="C629" s="103">
        <v>42917</v>
      </c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</row>
    <row r="630" spans="1:16" s="28" customFormat="1" hidden="1" x14ac:dyDescent="0.35">
      <c r="A630" s="1"/>
      <c r="B630" s="1"/>
      <c r="C630" s="103">
        <v>42918</v>
      </c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</row>
    <row r="631" spans="1:16" s="28" customFormat="1" hidden="1" x14ac:dyDescent="0.35">
      <c r="A631" s="1"/>
      <c r="B631" s="1"/>
      <c r="C631" s="103">
        <v>42919</v>
      </c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</row>
    <row r="632" spans="1:16" s="28" customFormat="1" hidden="1" x14ac:dyDescent="0.35">
      <c r="A632" s="1"/>
      <c r="B632" s="1"/>
      <c r="C632" s="103">
        <v>42920</v>
      </c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</row>
    <row r="633" spans="1:16" s="28" customFormat="1" hidden="1" x14ac:dyDescent="0.35">
      <c r="A633" s="1"/>
      <c r="B633" s="1"/>
      <c r="C633" s="103">
        <v>42921</v>
      </c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</row>
    <row r="634" spans="1:16" s="28" customFormat="1" hidden="1" x14ac:dyDescent="0.35">
      <c r="A634" s="1"/>
      <c r="B634" s="1"/>
      <c r="C634" s="103">
        <v>42922</v>
      </c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</row>
    <row r="635" spans="1:16" s="28" customFormat="1" hidden="1" x14ac:dyDescent="0.35">
      <c r="A635" s="1"/>
      <c r="B635" s="1"/>
      <c r="C635" s="103">
        <v>42923</v>
      </c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</row>
    <row r="636" spans="1:16" s="28" customFormat="1" hidden="1" x14ac:dyDescent="0.35">
      <c r="A636" s="1"/>
      <c r="B636" s="1"/>
      <c r="C636" s="103">
        <v>42924</v>
      </c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</row>
    <row r="637" spans="1:16" s="28" customFormat="1" hidden="1" x14ac:dyDescent="0.35">
      <c r="A637" s="1"/>
      <c r="B637" s="1"/>
      <c r="C637" s="103">
        <v>42925</v>
      </c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</row>
    <row r="638" spans="1:16" s="28" customFormat="1" hidden="1" x14ac:dyDescent="0.35">
      <c r="A638" s="1"/>
      <c r="B638" s="1"/>
      <c r="C638" s="103">
        <v>42926</v>
      </c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</row>
    <row r="639" spans="1:16" s="28" customFormat="1" hidden="1" x14ac:dyDescent="0.35">
      <c r="A639" s="1"/>
      <c r="B639" s="1"/>
      <c r="C639" s="103">
        <v>42927</v>
      </c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</row>
    <row r="640" spans="1:16" s="28" customFormat="1" hidden="1" x14ac:dyDescent="0.35">
      <c r="A640" s="1"/>
      <c r="B640" s="1"/>
      <c r="C640" s="103">
        <v>42928</v>
      </c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</row>
    <row r="641" spans="1:16" s="28" customFormat="1" hidden="1" x14ac:dyDescent="0.35">
      <c r="A641" s="1"/>
      <c r="B641" s="1"/>
      <c r="C641" s="103">
        <v>42929</v>
      </c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</row>
    <row r="642" spans="1:16" s="28" customFormat="1" hidden="1" x14ac:dyDescent="0.35">
      <c r="A642" s="1"/>
      <c r="B642" s="1"/>
      <c r="C642" s="103">
        <v>42930</v>
      </c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</row>
    <row r="643" spans="1:16" s="28" customFormat="1" hidden="1" x14ac:dyDescent="0.35">
      <c r="A643" s="1"/>
      <c r="B643" s="1"/>
      <c r="C643" s="103">
        <v>42931</v>
      </c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</row>
    <row r="644" spans="1:16" s="28" customFormat="1" hidden="1" x14ac:dyDescent="0.35">
      <c r="A644" s="1"/>
      <c r="B644" s="1"/>
      <c r="C644" s="103">
        <v>42932</v>
      </c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</row>
    <row r="645" spans="1:16" s="28" customFormat="1" hidden="1" x14ac:dyDescent="0.35">
      <c r="A645" s="1"/>
      <c r="B645" s="1"/>
      <c r="C645" s="103">
        <v>42933</v>
      </c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</row>
    <row r="646" spans="1:16" s="28" customFormat="1" hidden="1" x14ac:dyDescent="0.35">
      <c r="A646" s="1"/>
      <c r="B646" s="1"/>
      <c r="C646" s="103">
        <v>42934</v>
      </c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</row>
    <row r="647" spans="1:16" s="28" customFormat="1" hidden="1" x14ac:dyDescent="0.35">
      <c r="A647" s="1"/>
      <c r="B647" s="1"/>
      <c r="C647" s="103">
        <v>42935</v>
      </c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</row>
    <row r="648" spans="1:16" s="28" customFormat="1" hidden="1" x14ac:dyDescent="0.35">
      <c r="A648" s="1"/>
      <c r="B648" s="1"/>
      <c r="C648" s="103">
        <v>42936</v>
      </c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</row>
    <row r="649" spans="1:16" s="28" customFormat="1" hidden="1" x14ac:dyDescent="0.35">
      <c r="A649" s="1"/>
      <c r="B649" s="1"/>
      <c r="C649" s="103">
        <v>42937</v>
      </c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</row>
    <row r="650" spans="1:16" s="28" customFormat="1" hidden="1" x14ac:dyDescent="0.35">
      <c r="A650" s="1"/>
      <c r="B650" s="1"/>
      <c r="C650" s="103">
        <v>42938</v>
      </c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</row>
    <row r="651" spans="1:16" s="28" customFormat="1" hidden="1" x14ac:dyDescent="0.35">
      <c r="A651" s="1"/>
      <c r="B651" s="1"/>
      <c r="C651" s="103">
        <v>42939</v>
      </c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</row>
    <row r="652" spans="1:16" s="28" customFormat="1" hidden="1" x14ac:dyDescent="0.35">
      <c r="A652" s="1"/>
      <c r="B652" s="1"/>
      <c r="C652" s="103">
        <v>42940</v>
      </c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</row>
    <row r="653" spans="1:16" s="28" customFormat="1" hidden="1" x14ac:dyDescent="0.35">
      <c r="A653" s="1"/>
      <c r="B653" s="1"/>
      <c r="C653" s="103">
        <v>42941</v>
      </c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</row>
    <row r="654" spans="1:16" s="28" customFormat="1" hidden="1" x14ac:dyDescent="0.35">
      <c r="A654" s="1"/>
      <c r="B654" s="1"/>
      <c r="C654" s="103">
        <v>42942</v>
      </c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</row>
    <row r="655" spans="1:16" s="28" customFormat="1" hidden="1" x14ac:dyDescent="0.35">
      <c r="A655" s="1"/>
      <c r="B655" s="1"/>
      <c r="C655" s="103">
        <v>42943</v>
      </c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</row>
    <row r="656" spans="1:16" s="28" customFormat="1" hidden="1" x14ac:dyDescent="0.35">
      <c r="A656" s="1"/>
      <c r="B656" s="1"/>
      <c r="C656" s="103">
        <v>42944</v>
      </c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</row>
    <row r="657" spans="1:16" s="28" customFormat="1" hidden="1" x14ac:dyDescent="0.35">
      <c r="A657" s="1"/>
      <c r="B657" s="1"/>
      <c r="C657" s="103">
        <v>42945</v>
      </c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</row>
    <row r="658" spans="1:16" s="28" customFormat="1" hidden="1" x14ac:dyDescent="0.35">
      <c r="A658" s="1"/>
      <c r="B658" s="1"/>
      <c r="C658" s="103">
        <v>42946</v>
      </c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</row>
    <row r="659" spans="1:16" s="28" customFormat="1" hidden="1" x14ac:dyDescent="0.35">
      <c r="A659" s="1"/>
      <c r="B659" s="1"/>
      <c r="C659" s="103">
        <v>42947</v>
      </c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</row>
    <row r="660" spans="1:16" s="28" customFormat="1" hidden="1" x14ac:dyDescent="0.35">
      <c r="A660" s="1"/>
      <c r="B660" s="1"/>
      <c r="C660" s="103">
        <v>42948</v>
      </c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</row>
    <row r="661" spans="1:16" s="28" customFormat="1" hidden="1" x14ac:dyDescent="0.35">
      <c r="A661" s="1"/>
      <c r="B661" s="1"/>
      <c r="C661" s="103">
        <v>42949</v>
      </c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</row>
    <row r="662" spans="1:16" s="28" customFormat="1" hidden="1" x14ac:dyDescent="0.35">
      <c r="A662" s="1"/>
      <c r="B662" s="1"/>
      <c r="C662" s="103">
        <v>42950</v>
      </c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</row>
    <row r="663" spans="1:16" s="28" customFormat="1" hidden="1" x14ac:dyDescent="0.35">
      <c r="A663" s="1"/>
      <c r="B663" s="1"/>
      <c r="C663" s="103">
        <v>42951</v>
      </c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</row>
    <row r="664" spans="1:16" s="28" customFormat="1" hidden="1" x14ac:dyDescent="0.35">
      <c r="A664" s="1"/>
      <c r="B664" s="1"/>
      <c r="C664" s="103">
        <v>42952</v>
      </c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</row>
    <row r="665" spans="1:16" s="28" customFormat="1" hidden="1" x14ac:dyDescent="0.35">
      <c r="A665" s="1"/>
      <c r="B665" s="1"/>
      <c r="C665" s="103">
        <v>42953</v>
      </c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</row>
    <row r="666" spans="1:16" s="28" customFormat="1" hidden="1" x14ac:dyDescent="0.35">
      <c r="A666" s="1"/>
      <c r="B666" s="1"/>
      <c r="C666" s="103">
        <v>42954</v>
      </c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</row>
    <row r="667" spans="1:16" s="28" customFormat="1" hidden="1" x14ac:dyDescent="0.35">
      <c r="A667" s="1"/>
      <c r="B667" s="1"/>
      <c r="C667" s="103">
        <v>42955</v>
      </c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</row>
    <row r="668" spans="1:16" s="28" customFormat="1" hidden="1" x14ac:dyDescent="0.35">
      <c r="A668" s="1"/>
      <c r="B668" s="1"/>
      <c r="C668" s="103">
        <v>42956</v>
      </c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</row>
    <row r="669" spans="1:16" s="28" customFormat="1" hidden="1" x14ac:dyDescent="0.35">
      <c r="A669" s="1"/>
      <c r="B669" s="1"/>
      <c r="C669" s="103">
        <v>42957</v>
      </c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</row>
    <row r="670" spans="1:16" s="28" customFormat="1" hidden="1" x14ac:dyDescent="0.35">
      <c r="A670" s="1"/>
      <c r="B670" s="1"/>
      <c r="C670" s="103">
        <v>42958</v>
      </c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</row>
    <row r="671" spans="1:16" s="28" customFormat="1" hidden="1" x14ac:dyDescent="0.35">
      <c r="A671" s="1"/>
      <c r="B671" s="1"/>
      <c r="C671" s="103">
        <v>42959</v>
      </c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</row>
    <row r="672" spans="1:16" s="28" customFormat="1" hidden="1" x14ac:dyDescent="0.35">
      <c r="A672" s="1"/>
      <c r="B672" s="1"/>
      <c r="C672" s="103">
        <v>42960</v>
      </c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</row>
    <row r="673" spans="1:16" s="28" customFormat="1" hidden="1" x14ac:dyDescent="0.35">
      <c r="A673" s="1"/>
      <c r="B673" s="1"/>
      <c r="C673" s="103">
        <v>42961</v>
      </c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</row>
    <row r="674" spans="1:16" s="28" customFormat="1" hidden="1" x14ac:dyDescent="0.35">
      <c r="A674" s="1"/>
      <c r="B674" s="1"/>
      <c r="C674" s="103">
        <v>42962</v>
      </c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</row>
    <row r="675" spans="1:16" s="28" customFormat="1" hidden="1" x14ac:dyDescent="0.35">
      <c r="A675" s="1"/>
      <c r="B675" s="1"/>
      <c r="C675" s="103">
        <v>42963</v>
      </c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</row>
    <row r="676" spans="1:16" s="28" customFormat="1" hidden="1" x14ac:dyDescent="0.35">
      <c r="A676" s="1"/>
      <c r="B676" s="1"/>
      <c r="C676" s="103">
        <v>42964</v>
      </c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</row>
    <row r="677" spans="1:16" s="28" customFormat="1" hidden="1" x14ac:dyDescent="0.35">
      <c r="A677" s="1"/>
      <c r="B677" s="1"/>
      <c r="C677" s="103">
        <v>42965</v>
      </c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</row>
    <row r="678" spans="1:16" s="28" customFormat="1" hidden="1" x14ac:dyDescent="0.35">
      <c r="A678" s="1"/>
      <c r="B678" s="1"/>
      <c r="C678" s="103">
        <v>42966</v>
      </c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</row>
    <row r="679" spans="1:16" s="28" customFormat="1" hidden="1" x14ac:dyDescent="0.35">
      <c r="A679" s="1"/>
      <c r="B679" s="1"/>
      <c r="C679" s="103">
        <v>42967</v>
      </c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</row>
    <row r="680" spans="1:16" s="28" customFormat="1" hidden="1" x14ac:dyDescent="0.35">
      <c r="A680" s="1"/>
      <c r="B680" s="1"/>
      <c r="C680" s="103">
        <v>42968</v>
      </c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</row>
    <row r="681" spans="1:16" s="28" customFormat="1" hidden="1" x14ac:dyDescent="0.35">
      <c r="A681" s="1"/>
      <c r="B681" s="1"/>
      <c r="C681" s="103">
        <v>42969</v>
      </c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</row>
    <row r="682" spans="1:16" s="28" customFormat="1" hidden="1" x14ac:dyDescent="0.35">
      <c r="A682" s="1"/>
      <c r="B682" s="1"/>
      <c r="C682" s="103">
        <v>42970</v>
      </c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</row>
    <row r="683" spans="1:16" s="28" customFormat="1" hidden="1" x14ac:dyDescent="0.35">
      <c r="A683" s="1"/>
      <c r="B683" s="1"/>
      <c r="C683" s="103">
        <v>42971</v>
      </c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</row>
    <row r="684" spans="1:16" s="28" customFormat="1" hidden="1" x14ac:dyDescent="0.35">
      <c r="A684" s="1"/>
      <c r="B684" s="1"/>
      <c r="C684" s="103">
        <v>42972</v>
      </c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</row>
    <row r="685" spans="1:16" s="28" customFormat="1" hidden="1" x14ac:dyDescent="0.35">
      <c r="A685" s="1"/>
      <c r="B685" s="1"/>
      <c r="C685" s="103">
        <v>42973</v>
      </c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</row>
    <row r="686" spans="1:16" s="28" customFormat="1" hidden="1" x14ac:dyDescent="0.35">
      <c r="A686" s="1"/>
      <c r="B686" s="1"/>
      <c r="C686" s="103">
        <v>42974</v>
      </c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</row>
    <row r="687" spans="1:16" s="28" customFormat="1" hidden="1" x14ac:dyDescent="0.35">
      <c r="A687" s="1"/>
      <c r="B687" s="1"/>
      <c r="C687" s="103">
        <v>42975</v>
      </c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</row>
    <row r="688" spans="1:16" s="28" customFormat="1" hidden="1" x14ac:dyDescent="0.35">
      <c r="A688" s="1"/>
      <c r="B688" s="1"/>
      <c r="C688" s="103">
        <v>42976</v>
      </c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</row>
    <row r="689" spans="1:16" s="28" customFormat="1" hidden="1" x14ac:dyDescent="0.35">
      <c r="A689" s="1"/>
      <c r="B689" s="1"/>
      <c r="C689" s="103">
        <v>42977</v>
      </c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</row>
    <row r="690" spans="1:16" s="28" customFormat="1" hidden="1" x14ac:dyDescent="0.35">
      <c r="A690" s="1"/>
      <c r="B690" s="1"/>
      <c r="C690" s="103">
        <v>42978</v>
      </c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</row>
    <row r="691" spans="1:16" s="28" customFormat="1" hidden="1" x14ac:dyDescent="0.35">
      <c r="A691" s="1"/>
      <c r="B691" s="1"/>
      <c r="C691" s="103">
        <v>42979</v>
      </c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</row>
    <row r="692" spans="1:16" s="28" customFormat="1" hidden="1" x14ac:dyDescent="0.35">
      <c r="A692" s="1"/>
      <c r="B692" s="1"/>
      <c r="C692" s="103">
        <v>42980</v>
      </c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</row>
    <row r="693" spans="1:16" s="28" customFormat="1" hidden="1" x14ac:dyDescent="0.35">
      <c r="A693" s="1"/>
      <c r="B693" s="1"/>
      <c r="C693" s="103">
        <v>42981</v>
      </c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</row>
    <row r="694" spans="1:16" s="28" customFormat="1" hidden="1" x14ac:dyDescent="0.35">
      <c r="A694" s="1"/>
      <c r="B694" s="1"/>
      <c r="C694" s="103">
        <v>42982</v>
      </c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</row>
    <row r="695" spans="1:16" s="28" customFormat="1" hidden="1" x14ac:dyDescent="0.35">
      <c r="A695" s="1"/>
      <c r="B695" s="1"/>
      <c r="C695" s="103">
        <v>42983</v>
      </c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</row>
    <row r="696" spans="1:16" s="28" customFormat="1" hidden="1" x14ac:dyDescent="0.35">
      <c r="A696" s="1"/>
      <c r="B696" s="1"/>
      <c r="C696" s="103">
        <v>42984</v>
      </c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</row>
    <row r="697" spans="1:16" s="28" customFormat="1" hidden="1" x14ac:dyDescent="0.35">
      <c r="A697" s="1"/>
      <c r="B697" s="1"/>
      <c r="C697" s="103">
        <v>42985</v>
      </c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</row>
    <row r="698" spans="1:16" s="28" customFormat="1" hidden="1" x14ac:dyDescent="0.35">
      <c r="A698" s="1"/>
      <c r="B698" s="1"/>
      <c r="C698" s="103">
        <v>42986</v>
      </c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</row>
    <row r="699" spans="1:16" s="28" customFormat="1" hidden="1" x14ac:dyDescent="0.35">
      <c r="A699" s="1"/>
      <c r="B699" s="1"/>
      <c r="C699" s="103">
        <v>42987</v>
      </c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</row>
    <row r="700" spans="1:16" s="28" customFormat="1" hidden="1" x14ac:dyDescent="0.35">
      <c r="A700" s="1"/>
      <c r="B700" s="1"/>
      <c r="C700" s="103">
        <v>42988</v>
      </c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</row>
    <row r="701" spans="1:16" s="28" customFormat="1" hidden="1" x14ac:dyDescent="0.35">
      <c r="A701" s="1"/>
      <c r="B701" s="1"/>
      <c r="C701" s="103">
        <v>42989</v>
      </c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</row>
    <row r="702" spans="1:16" s="28" customFormat="1" hidden="1" x14ac:dyDescent="0.35">
      <c r="A702" s="1"/>
      <c r="B702" s="1"/>
      <c r="C702" s="103">
        <v>42990</v>
      </c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</row>
    <row r="703" spans="1:16" s="28" customFormat="1" hidden="1" x14ac:dyDescent="0.35">
      <c r="A703" s="1"/>
      <c r="B703" s="1"/>
      <c r="C703" s="103">
        <v>42991</v>
      </c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</row>
    <row r="704" spans="1:16" s="28" customFormat="1" hidden="1" x14ac:dyDescent="0.35">
      <c r="A704" s="1"/>
      <c r="B704" s="1"/>
      <c r="C704" s="103">
        <v>42992</v>
      </c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</row>
    <row r="705" spans="1:16" s="28" customFormat="1" hidden="1" x14ac:dyDescent="0.35">
      <c r="A705" s="1"/>
      <c r="B705" s="1"/>
      <c r="C705" s="103">
        <v>42993</v>
      </c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</row>
    <row r="706" spans="1:16" s="28" customFormat="1" hidden="1" x14ac:dyDescent="0.35">
      <c r="A706" s="1"/>
      <c r="B706" s="1"/>
      <c r="C706" s="103">
        <v>42994</v>
      </c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</row>
    <row r="707" spans="1:16" s="28" customFormat="1" hidden="1" x14ac:dyDescent="0.35">
      <c r="A707" s="1"/>
      <c r="B707" s="1"/>
      <c r="C707" s="103">
        <v>42995</v>
      </c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</row>
    <row r="708" spans="1:16" s="28" customFormat="1" hidden="1" x14ac:dyDescent="0.35">
      <c r="A708" s="1"/>
      <c r="B708" s="1"/>
      <c r="C708" s="103">
        <v>42996</v>
      </c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</row>
    <row r="709" spans="1:16" s="28" customFormat="1" hidden="1" x14ac:dyDescent="0.35">
      <c r="A709" s="1"/>
      <c r="B709" s="1"/>
      <c r="C709" s="103">
        <v>42997</v>
      </c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</row>
    <row r="710" spans="1:16" s="28" customFormat="1" hidden="1" x14ac:dyDescent="0.35">
      <c r="A710" s="1"/>
      <c r="B710" s="1"/>
      <c r="C710" s="103">
        <v>42998</v>
      </c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</row>
    <row r="711" spans="1:16" s="28" customFormat="1" hidden="1" x14ac:dyDescent="0.35">
      <c r="A711" s="1"/>
      <c r="B711" s="1"/>
      <c r="C711" s="103">
        <v>42999</v>
      </c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</row>
    <row r="712" spans="1:16" s="28" customFormat="1" hidden="1" x14ac:dyDescent="0.35">
      <c r="A712" s="1"/>
      <c r="B712" s="1"/>
      <c r="C712" s="103">
        <v>43000</v>
      </c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</row>
    <row r="713" spans="1:16" s="28" customFormat="1" hidden="1" x14ac:dyDescent="0.35">
      <c r="A713" s="1"/>
      <c r="B713" s="1"/>
      <c r="C713" s="103">
        <v>43001</v>
      </c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</row>
    <row r="714" spans="1:16" s="28" customFormat="1" hidden="1" x14ac:dyDescent="0.35">
      <c r="A714" s="1"/>
      <c r="B714" s="1"/>
      <c r="C714" s="103">
        <v>43002</v>
      </c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</row>
    <row r="715" spans="1:16" s="28" customFormat="1" hidden="1" x14ac:dyDescent="0.35">
      <c r="A715" s="1"/>
      <c r="B715" s="1"/>
      <c r="C715" s="103">
        <v>43003</v>
      </c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</row>
    <row r="716" spans="1:16" s="28" customFormat="1" hidden="1" x14ac:dyDescent="0.35">
      <c r="A716" s="1"/>
      <c r="B716" s="1"/>
      <c r="C716" s="103">
        <v>43004</v>
      </c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</row>
    <row r="717" spans="1:16" s="28" customFormat="1" hidden="1" x14ac:dyDescent="0.35">
      <c r="A717" s="1"/>
      <c r="B717" s="1"/>
      <c r="C717" s="103">
        <v>43005</v>
      </c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</row>
    <row r="718" spans="1:16" s="28" customFormat="1" hidden="1" x14ac:dyDescent="0.35">
      <c r="A718" s="1"/>
      <c r="B718" s="1"/>
      <c r="C718" s="103">
        <v>43006</v>
      </c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</row>
    <row r="719" spans="1:16" s="28" customFormat="1" hidden="1" x14ac:dyDescent="0.35">
      <c r="A719" s="1"/>
      <c r="B719" s="1"/>
      <c r="C719" s="103">
        <v>43007</v>
      </c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</row>
    <row r="720" spans="1:16" s="28" customFormat="1" hidden="1" x14ac:dyDescent="0.35">
      <c r="A720" s="1"/>
      <c r="B720" s="1"/>
      <c r="C720" s="103">
        <v>43008</v>
      </c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</row>
    <row r="721" spans="1:16" s="28" customFormat="1" hidden="1" x14ac:dyDescent="0.35">
      <c r="A721" s="1"/>
      <c r="B721" s="1"/>
      <c r="C721" s="103">
        <v>43009</v>
      </c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</row>
    <row r="722" spans="1:16" s="28" customFormat="1" hidden="1" x14ac:dyDescent="0.35">
      <c r="A722" s="1"/>
      <c r="B722" s="1"/>
      <c r="C722" s="103">
        <v>43010</v>
      </c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</row>
    <row r="723" spans="1:16" s="28" customFormat="1" hidden="1" x14ac:dyDescent="0.35">
      <c r="A723" s="1"/>
      <c r="B723" s="1"/>
      <c r="C723" s="103">
        <v>43011</v>
      </c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</row>
    <row r="724" spans="1:16" s="28" customFormat="1" hidden="1" x14ac:dyDescent="0.35">
      <c r="A724" s="1"/>
      <c r="B724" s="1"/>
      <c r="C724" s="103">
        <v>43012</v>
      </c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</row>
    <row r="725" spans="1:16" s="28" customFormat="1" hidden="1" x14ac:dyDescent="0.35">
      <c r="A725" s="1"/>
      <c r="B725" s="1"/>
      <c r="C725" s="103">
        <v>43013</v>
      </c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</row>
    <row r="726" spans="1:16" s="28" customFormat="1" hidden="1" x14ac:dyDescent="0.35">
      <c r="A726" s="1"/>
      <c r="B726" s="1"/>
      <c r="C726" s="103">
        <v>43014</v>
      </c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</row>
    <row r="727" spans="1:16" s="28" customFormat="1" hidden="1" x14ac:dyDescent="0.35">
      <c r="A727" s="1"/>
      <c r="B727" s="1"/>
      <c r="C727" s="103">
        <v>43015</v>
      </c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</row>
    <row r="728" spans="1:16" s="28" customFormat="1" hidden="1" x14ac:dyDescent="0.35">
      <c r="A728" s="1"/>
      <c r="B728" s="1"/>
      <c r="C728" s="103">
        <v>43016</v>
      </c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</row>
    <row r="729" spans="1:16" s="28" customFormat="1" hidden="1" x14ac:dyDescent="0.35">
      <c r="A729" s="1"/>
      <c r="B729" s="1"/>
      <c r="C729" s="103">
        <v>43017</v>
      </c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</row>
    <row r="730" spans="1:16" s="28" customFormat="1" hidden="1" x14ac:dyDescent="0.35">
      <c r="A730" s="1"/>
      <c r="B730" s="1"/>
      <c r="C730" s="103">
        <v>43018</v>
      </c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</row>
    <row r="731" spans="1:16" s="28" customFormat="1" hidden="1" x14ac:dyDescent="0.35">
      <c r="A731" s="1"/>
      <c r="B731" s="1"/>
      <c r="C731" s="103">
        <v>43019</v>
      </c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</row>
    <row r="732" spans="1:16" s="28" customFormat="1" hidden="1" x14ac:dyDescent="0.35">
      <c r="A732" s="1"/>
      <c r="B732" s="1"/>
      <c r="C732" s="103">
        <v>43020</v>
      </c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</row>
    <row r="733" spans="1:16" s="28" customFormat="1" hidden="1" x14ac:dyDescent="0.35">
      <c r="A733" s="1"/>
      <c r="B733" s="1"/>
      <c r="C733" s="103">
        <v>43021</v>
      </c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</row>
    <row r="734" spans="1:16" s="28" customFormat="1" hidden="1" x14ac:dyDescent="0.35">
      <c r="A734" s="1"/>
      <c r="B734" s="1"/>
      <c r="C734" s="103">
        <v>43022</v>
      </c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</row>
    <row r="735" spans="1:16" s="28" customFormat="1" hidden="1" x14ac:dyDescent="0.35">
      <c r="A735" s="1"/>
      <c r="B735" s="1"/>
      <c r="C735" s="103">
        <v>43023</v>
      </c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</row>
    <row r="736" spans="1:16" s="28" customFormat="1" hidden="1" x14ac:dyDescent="0.35">
      <c r="A736" s="1"/>
      <c r="B736" s="1"/>
      <c r="C736" s="103">
        <v>43024</v>
      </c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</row>
    <row r="737" spans="1:16" s="28" customFormat="1" hidden="1" x14ac:dyDescent="0.35">
      <c r="A737" s="1"/>
      <c r="B737" s="1"/>
      <c r="C737" s="103">
        <v>43025</v>
      </c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</row>
    <row r="738" spans="1:16" s="28" customFormat="1" hidden="1" x14ac:dyDescent="0.35">
      <c r="A738" s="1"/>
      <c r="B738" s="1"/>
      <c r="C738" s="103">
        <v>43026</v>
      </c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</row>
    <row r="739" spans="1:16" s="28" customFormat="1" hidden="1" x14ac:dyDescent="0.35">
      <c r="A739" s="1"/>
      <c r="B739" s="1"/>
      <c r="C739" s="103">
        <v>43027</v>
      </c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</row>
    <row r="740" spans="1:16" s="28" customFormat="1" hidden="1" x14ac:dyDescent="0.35">
      <c r="A740" s="1"/>
      <c r="B740" s="1"/>
      <c r="C740" s="103">
        <v>43028</v>
      </c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</row>
    <row r="741" spans="1:16" s="28" customFormat="1" hidden="1" x14ac:dyDescent="0.35">
      <c r="A741" s="1"/>
      <c r="B741" s="1"/>
      <c r="C741" s="103">
        <v>43029</v>
      </c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</row>
    <row r="742" spans="1:16" s="28" customFormat="1" hidden="1" x14ac:dyDescent="0.35">
      <c r="A742" s="1"/>
      <c r="B742" s="1"/>
      <c r="C742" s="103">
        <v>43030</v>
      </c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</row>
    <row r="743" spans="1:16" s="28" customFormat="1" hidden="1" x14ac:dyDescent="0.35">
      <c r="A743" s="1"/>
      <c r="B743" s="1"/>
      <c r="C743" s="103">
        <v>43031</v>
      </c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</row>
    <row r="744" spans="1:16" s="28" customFormat="1" hidden="1" x14ac:dyDescent="0.35">
      <c r="A744" s="1"/>
      <c r="B744" s="1"/>
      <c r="C744" s="103">
        <v>43032</v>
      </c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</row>
    <row r="745" spans="1:16" s="28" customFormat="1" hidden="1" x14ac:dyDescent="0.35">
      <c r="A745" s="1"/>
      <c r="B745" s="1"/>
      <c r="C745" s="103">
        <v>43033</v>
      </c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</row>
    <row r="746" spans="1:16" s="28" customFormat="1" hidden="1" x14ac:dyDescent="0.35">
      <c r="A746" s="1"/>
      <c r="B746" s="1"/>
      <c r="C746" s="103">
        <v>43034</v>
      </c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</row>
    <row r="747" spans="1:16" s="28" customFormat="1" hidden="1" x14ac:dyDescent="0.35">
      <c r="A747" s="1"/>
      <c r="B747" s="1"/>
      <c r="C747" s="103">
        <v>43035</v>
      </c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</row>
    <row r="748" spans="1:16" s="28" customFormat="1" hidden="1" x14ac:dyDescent="0.35">
      <c r="A748" s="1"/>
      <c r="B748" s="1"/>
      <c r="C748" s="103">
        <v>43036</v>
      </c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</row>
    <row r="749" spans="1:16" s="28" customFormat="1" hidden="1" x14ac:dyDescent="0.35">
      <c r="A749" s="1"/>
      <c r="B749" s="1"/>
      <c r="C749" s="103">
        <v>43037</v>
      </c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</row>
    <row r="750" spans="1:16" s="28" customFormat="1" hidden="1" x14ac:dyDescent="0.35">
      <c r="A750" s="1"/>
      <c r="B750" s="1"/>
      <c r="C750" s="103">
        <v>43038</v>
      </c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</row>
    <row r="751" spans="1:16" s="28" customFormat="1" hidden="1" x14ac:dyDescent="0.35">
      <c r="A751" s="1"/>
      <c r="B751" s="1"/>
      <c r="C751" s="103">
        <v>43039</v>
      </c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</row>
    <row r="752" spans="1:16" s="28" customFormat="1" hidden="1" x14ac:dyDescent="0.35">
      <c r="A752" s="1"/>
      <c r="B752" s="1"/>
      <c r="C752" s="103">
        <v>43040</v>
      </c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</row>
    <row r="753" spans="1:16" s="28" customFormat="1" hidden="1" x14ac:dyDescent="0.35">
      <c r="A753" s="1"/>
      <c r="B753" s="1"/>
      <c r="C753" s="103">
        <v>43041</v>
      </c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</row>
    <row r="754" spans="1:16" s="28" customFormat="1" hidden="1" x14ac:dyDescent="0.35">
      <c r="A754" s="1"/>
      <c r="B754" s="1"/>
      <c r="C754" s="103">
        <v>43042</v>
      </c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</row>
    <row r="755" spans="1:16" s="28" customFormat="1" hidden="1" x14ac:dyDescent="0.35">
      <c r="A755" s="1"/>
      <c r="B755" s="1"/>
      <c r="C755" s="103">
        <v>43043</v>
      </c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</row>
    <row r="756" spans="1:16" s="28" customFormat="1" hidden="1" x14ac:dyDescent="0.35">
      <c r="A756" s="1"/>
      <c r="B756" s="1"/>
      <c r="C756" s="103">
        <v>43044</v>
      </c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</row>
    <row r="757" spans="1:16" s="28" customFormat="1" hidden="1" x14ac:dyDescent="0.35">
      <c r="A757" s="1"/>
      <c r="B757" s="1"/>
      <c r="C757" s="103">
        <v>43045</v>
      </c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</row>
    <row r="758" spans="1:16" s="28" customFormat="1" hidden="1" x14ac:dyDescent="0.35">
      <c r="A758" s="1"/>
      <c r="B758" s="1"/>
      <c r="C758" s="103">
        <v>43046</v>
      </c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</row>
    <row r="759" spans="1:16" s="28" customFormat="1" hidden="1" x14ac:dyDescent="0.35">
      <c r="A759" s="1"/>
      <c r="B759" s="1"/>
      <c r="C759" s="103">
        <v>43047</v>
      </c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</row>
    <row r="760" spans="1:16" s="28" customFormat="1" hidden="1" x14ac:dyDescent="0.35">
      <c r="A760" s="1"/>
      <c r="B760" s="1"/>
      <c r="C760" s="103">
        <v>43048</v>
      </c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</row>
    <row r="761" spans="1:16" s="28" customFormat="1" hidden="1" x14ac:dyDescent="0.35">
      <c r="A761" s="1"/>
      <c r="B761" s="1"/>
      <c r="C761" s="103">
        <v>43049</v>
      </c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</row>
    <row r="762" spans="1:16" s="28" customFormat="1" hidden="1" x14ac:dyDescent="0.35">
      <c r="A762" s="1"/>
      <c r="B762" s="1"/>
      <c r="C762" s="103">
        <v>43050</v>
      </c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</row>
    <row r="763" spans="1:16" s="28" customFormat="1" hidden="1" x14ac:dyDescent="0.35">
      <c r="A763" s="1"/>
      <c r="B763" s="1"/>
      <c r="C763" s="103">
        <v>43051</v>
      </c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</row>
    <row r="764" spans="1:16" s="28" customFormat="1" hidden="1" x14ac:dyDescent="0.35">
      <c r="A764" s="1"/>
      <c r="B764" s="1"/>
      <c r="C764" s="103">
        <v>43052</v>
      </c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</row>
    <row r="765" spans="1:16" s="28" customFormat="1" hidden="1" x14ac:dyDescent="0.35">
      <c r="A765" s="1"/>
      <c r="B765" s="1"/>
      <c r="C765" s="103">
        <v>43053</v>
      </c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</row>
    <row r="766" spans="1:16" s="28" customFormat="1" hidden="1" x14ac:dyDescent="0.35">
      <c r="A766" s="1"/>
      <c r="B766" s="1"/>
      <c r="C766" s="103">
        <v>43054</v>
      </c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</row>
    <row r="767" spans="1:16" s="28" customFormat="1" hidden="1" x14ac:dyDescent="0.35">
      <c r="A767" s="1"/>
      <c r="B767" s="1"/>
      <c r="C767" s="103">
        <v>43055</v>
      </c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</row>
    <row r="768" spans="1:16" s="28" customFormat="1" hidden="1" x14ac:dyDescent="0.35">
      <c r="A768" s="1"/>
      <c r="B768" s="1"/>
      <c r="C768" s="103">
        <v>43056</v>
      </c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</row>
    <row r="769" spans="1:16" s="28" customFormat="1" hidden="1" x14ac:dyDescent="0.35">
      <c r="A769" s="1"/>
      <c r="B769" s="1"/>
      <c r="C769" s="103">
        <v>43057</v>
      </c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</row>
    <row r="770" spans="1:16" s="28" customFormat="1" hidden="1" x14ac:dyDescent="0.35">
      <c r="A770" s="1"/>
      <c r="B770" s="1"/>
      <c r="C770" s="103">
        <v>43058</v>
      </c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</row>
    <row r="771" spans="1:16" s="28" customFormat="1" hidden="1" x14ac:dyDescent="0.35">
      <c r="A771" s="1"/>
      <c r="B771" s="1"/>
      <c r="C771" s="103">
        <v>43059</v>
      </c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</row>
    <row r="772" spans="1:16" s="28" customFormat="1" hidden="1" x14ac:dyDescent="0.35">
      <c r="A772" s="1"/>
      <c r="B772" s="1"/>
      <c r="C772" s="103">
        <v>43060</v>
      </c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</row>
    <row r="773" spans="1:16" s="28" customFormat="1" hidden="1" x14ac:dyDescent="0.35">
      <c r="A773" s="1"/>
      <c r="B773" s="1"/>
      <c r="C773" s="103">
        <v>43061</v>
      </c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</row>
    <row r="774" spans="1:16" s="28" customFormat="1" hidden="1" x14ac:dyDescent="0.35">
      <c r="A774" s="1"/>
      <c r="B774" s="1"/>
      <c r="C774" s="103">
        <v>43062</v>
      </c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</row>
    <row r="775" spans="1:16" s="28" customFormat="1" hidden="1" x14ac:dyDescent="0.35">
      <c r="A775" s="1"/>
      <c r="B775" s="1"/>
      <c r="C775" s="103">
        <v>43063</v>
      </c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</row>
    <row r="776" spans="1:16" s="28" customFormat="1" hidden="1" x14ac:dyDescent="0.35">
      <c r="A776" s="1"/>
      <c r="B776" s="1"/>
      <c r="C776" s="103">
        <v>43064</v>
      </c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</row>
    <row r="777" spans="1:16" s="28" customFormat="1" hidden="1" x14ac:dyDescent="0.35">
      <c r="A777" s="1"/>
      <c r="B777" s="1"/>
      <c r="C777" s="103">
        <v>43065</v>
      </c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</row>
    <row r="778" spans="1:16" s="28" customFormat="1" hidden="1" x14ac:dyDescent="0.35">
      <c r="A778" s="1"/>
      <c r="B778" s="1"/>
      <c r="C778" s="103">
        <v>43066</v>
      </c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</row>
    <row r="779" spans="1:16" s="28" customFormat="1" hidden="1" x14ac:dyDescent="0.35">
      <c r="A779" s="1"/>
      <c r="B779" s="1"/>
      <c r="C779" s="103">
        <v>43067</v>
      </c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</row>
    <row r="780" spans="1:16" s="28" customFormat="1" hidden="1" x14ac:dyDescent="0.35">
      <c r="A780" s="1"/>
      <c r="B780" s="1"/>
      <c r="C780" s="103">
        <v>43068</v>
      </c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</row>
    <row r="781" spans="1:16" s="28" customFormat="1" hidden="1" x14ac:dyDescent="0.35">
      <c r="A781" s="1"/>
      <c r="B781" s="1"/>
      <c r="C781" s="103">
        <v>43069</v>
      </c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</row>
    <row r="782" spans="1:16" s="28" customFormat="1" hidden="1" x14ac:dyDescent="0.35">
      <c r="A782" s="1"/>
      <c r="B782" s="1"/>
      <c r="C782" s="103">
        <v>43070</v>
      </c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</row>
    <row r="783" spans="1:16" s="28" customFormat="1" hidden="1" x14ac:dyDescent="0.35">
      <c r="A783" s="1"/>
      <c r="B783" s="1"/>
      <c r="C783" s="103">
        <v>43071</v>
      </c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</row>
    <row r="784" spans="1:16" s="28" customFormat="1" hidden="1" x14ac:dyDescent="0.35">
      <c r="A784" s="1"/>
      <c r="B784" s="1"/>
      <c r="C784" s="103">
        <v>43072</v>
      </c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</row>
    <row r="785" spans="1:16" s="28" customFormat="1" hidden="1" x14ac:dyDescent="0.35">
      <c r="A785" s="1"/>
      <c r="B785" s="1"/>
      <c r="C785" s="103">
        <v>43073</v>
      </c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</row>
    <row r="786" spans="1:16" s="28" customFormat="1" hidden="1" x14ac:dyDescent="0.35">
      <c r="A786" s="1"/>
      <c r="B786" s="1"/>
      <c r="C786" s="103">
        <v>43074</v>
      </c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</row>
    <row r="787" spans="1:16" s="28" customFormat="1" hidden="1" x14ac:dyDescent="0.35">
      <c r="A787" s="1"/>
      <c r="B787" s="1"/>
      <c r="C787" s="103">
        <v>43075</v>
      </c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</row>
    <row r="788" spans="1:16" s="28" customFormat="1" hidden="1" x14ac:dyDescent="0.35">
      <c r="A788" s="1"/>
      <c r="B788" s="1"/>
      <c r="C788" s="103">
        <v>43076</v>
      </c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</row>
    <row r="789" spans="1:16" s="28" customFormat="1" hidden="1" x14ac:dyDescent="0.35">
      <c r="A789" s="1"/>
      <c r="B789" s="1"/>
      <c r="C789" s="103">
        <v>43077</v>
      </c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</row>
    <row r="790" spans="1:16" s="28" customFormat="1" hidden="1" x14ac:dyDescent="0.35">
      <c r="A790" s="1"/>
      <c r="B790" s="1"/>
      <c r="C790" s="103">
        <v>43078</v>
      </c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</row>
    <row r="791" spans="1:16" s="28" customFormat="1" hidden="1" x14ac:dyDescent="0.35">
      <c r="A791" s="1"/>
      <c r="B791" s="1"/>
      <c r="C791" s="103">
        <v>43079</v>
      </c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</row>
    <row r="792" spans="1:16" s="28" customFormat="1" hidden="1" x14ac:dyDescent="0.35">
      <c r="A792" s="1"/>
      <c r="B792" s="1"/>
      <c r="C792" s="103">
        <v>43080</v>
      </c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</row>
    <row r="793" spans="1:16" s="28" customFormat="1" hidden="1" x14ac:dyDescent="0.35">
      <c r="A793" s="1"/>
      <c r="B793" s="1"/>
      <c r="C793" s="103">
        <v>43081</v>
      </c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</row>
    <row r="794" spans="1:16" s="28" customFormat="1" hidden="1" x14ac:dyDescent="0.35">
      <c r="A794" s="1"/>
      <c r="B794" s="1"/>
      <c r="C794" s="103">
        <v>43082</v>
      </c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</row>
    <row r="795" spans="1:16" s="28" customFormat="1" hidden="1" x14ac:dyDescent="0.35">
      <c r="A795" s="1"/>
      <c r="B795" s="1"/>
      <c r="C795" s="103">
        <v>43083</v>
      </c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</row>
    <row r="796" spans="1:16" s="28" customFormat="1" hidden="1" x14ac:dyDescent="0.35">
      <c r="A796" s="1"/>
      <c r="B796" s="1"/>
      <c r="C796" s="103">
        <v>43084</v>
      </c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</row>
    <row r="797" spans="1:16" s="28" customFormat="1" hidden="1" x14ac:dyDescent="0.35">
      <c r="A797" s="1"/>
      <c r="B797" s="1"/>
      <c r="C797" s="103">
        <v>43085</v>
      </c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</row>
    <row r="798" spans="1:16" s="28" customFormat="1" hidden="1" x14ac:dyDescent="0.35">
      <c r="A798" s="1"/>
      <c r="B798" s="1"/>
      <c r="C798" s="103">
        <v>43086</v>
      </c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</row>
    <row r="799" spans="1:16" s="28" customFormat="1" hidden="1" x14ac:dyDescent="0.35">
      <c r="A799" s="1"/>
      <c r="B799" s="1"/>
      <c r="C799" s="103">
        <v>43087</v>
      </c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</row>
    <row r="800" spans="1:16" s="28" customFormat="1" hidden="1" x14ac:dyDescent="0.35">
      <c r="A800" s="1"/>
      <c r="B800" s="1"/>
      <c r="C800" s="103">
        <v>43088</v>
      </c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</row>
    <row r="801" spans="1:16" s="28" customFormat="1" hidden="1" x14ac:dyDescent="0.35">
      <c r="A801" s="1"/>
      <c r="B801" s="1"/>
      <c r="C801" s="103">
        <v>43089</v>
      </c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</row>
    <row r="802" spans="1:16" s="28" customFormat="1" hidden="1" x14ac:dyDescent="0.35">
      <c r="A802" s="1"/>
      <c r="B802" s="1"/>
      <c r="C802" s="103">
        <v>43090</v>
      </c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</row>
    <row r="803" spans="1:16" s="28" customFormat="1" hidden="1" x14ac:dyDescent="0.35">
      <c r="A803" s="1"/>
      <c r="B803" s="1"/>
      <c r="C803" s="103">
        <v>43091</v>
      </c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</row>
    <row r="804" spans="1:16" s="28" customFormat="1" hidden="1" x14ac:dyDescent="0.35">
      <c r="A804" s="1"/>
      <c r="B804" s="1"/>
      <c r="C804" s="103">
        <v>43092</v>
      </c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</row>
    <row r="805" spans="1:16" s="28" customFormat="1" hidden="1" x14ac:dyDescent="0.35">
      <c r="A805" s="1"/>
      <c r="B805" s="1"/>
      <c r="C805" s="103">
        <v>43093</v>
      </c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</row>
    <row r="806" spans="1:16" s="28" customFormat="1" hidden="1" x14ac:dyDescent="0.35">
      <c r="A806" s="1"/>
      <c r="B806" s="1"/>
      <c r="C806" s="103">
        <v>43094</v>
      </c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</row>
    <row r="807" spans="1:16" s="28" customFormat="1" hidden="1" x14ac:dyDescent="0.35">
      <c r="A807" s="1"/>
      <c r="B807" s="1"/>
      <c r="C807" s="103">
        <v>43095</v>
      </c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</row>
    <row r="808" spans="1:16" s="28" customFormat="1" hidden="1" x14ac:dyDescent="0.35">
      <c r="A808" s="1"/>
      <c r="B808" s="1"/>
      <c r="C808" s="103">
        <v>43096</v>
      </c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</row>
    <row r="809" spans="1:16" s="28" customFormat="1" hidden="1" x14ac:dyDescent="0.35">
      <c r="A809" s="1"/>
      <c r="B809" s="1"/>
      <c r="C809" s="103">
        <v>43097</v>
      </c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</row>
    <row r="810" spans="1:16" s="28" customFormat="1" hidden="1" x14ac:dyDescent="0.35">
      <c r="A810" s="1"/>
      <c r="B810" s="1"/>
      <c r="C810" s="103">
        <v>43098</v>
      </c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</row>
    <row r="811" spans="1:16" s="28" customFormat="1" hidden="1" x14ac:dyDescent="0.35">
      <c r="A811" s="1"/>
      <c r="B811" s="1"/>
      <c r="C811" s="103">
        <v>43099</v>
      </c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</row>
    <row r="812" spans="1:16" s="28" customFormat="1" hidden="1" x14ac:dyDescent="0.35">
      <c r="A812" s="1"/>
      <c r="B812" s="1"/>
      <c r="C812" s="103">
        <v>43100</v>
      </c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</row>
    <row r="813" spans="1:16" s="28" customFormat="1" hidden="1" x14ac:dyDescent="0.35">
      <c r="A813" s="1"/>
      <c r="B813" s="1"/>
      <c r="C813" s="103">
        <v>43101</v>
      </c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</row>
    <row r="814" spans="1:16" s="28" customFormat="1" hidden="1" x14ac:dyDescent="0.35">
      <c r="A814" s="1"/>
      <c r="B814" s="1"/>
      <c r="C814" s="103">
        <v>43102</v>
      </c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</row>
    <row r="815" spans="1:16" s="28" customFormat="1" hidden="1" x14ac:dyDescent="0.35">
      <c r="A815" s="1"/>
      <c r="B815" s="1"/>
      <c r="C815" s="103">
        <v>43103</v>
      </c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</row>
    <row r="816" spans="1:16" s="28" customFormat="1" hidden="1" x14ac:dyDescent="0.35">
      <c r="A816" s="1"/>
      <c r="B816" s="1"/>
      <c r="C816" s="103">
        <v>43104</v>
      </c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</row>
    <row r="817" spans="1:16" s="28" customFormat="1" hidden="1" x14ac:dyDescent="0.35">
      <c r="A817" s="1"/>
      <c r="B817" s="1"/>
      <c r="C817" s="103">
        <v>43105</v>
      </c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</row>
    <row r="818" spans="1:16" s="28" customFormat="1" hidden="1" x14ac:dyDescent="0.35">
      <c r="A818" s="1"/>
      <c r="B818" s="1"/>
      <c r="C818" s="103">
        <v>43106</v>
      </c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</row>
    <row r="819" spans="1:16" s="28" customFormat="1" hidden="1" x14ac:dyDescent="0.35">
      <c r="A819" s="1"/>
      <c r="B819" s="1"/>
      <c r="C819" s="103">
        <v>43107</v>
      </c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</row>
    <row r="820" spans="1:16" s="28" customFormat="1" hidden="1" x14ac:dyDescent="0.35">
      <c r="A820" s="1"/>
      <c r="B820" s="1"/>
      <c r="C820" s="103">
        <v>43108</v>
      </c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</row>
    <row r="821" spans="1:16" s="28" customFormat="1" hidden="1" x14ac:dyDescent="0.35">
      <c r="A821" s="1"/>
      <c r="B821" s="1"/>
      <c r="C821" s="103">
        <v>43109</v>
      </c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</row>
    <row r="822" spans="1:16" s="28" customFormat="1" hidden="1" x14ac:dyDescent="0.35">
      <c r="A822" s="1"/>
      <c r="B822" s="1"/>
      <c r="C822" s="103">
        <v>43110</v>
      </c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</row>
    <row r="823" spans="1:16" s="28" customFormat="1" hidden="1" x14ac:dyDescent="0.35">
      <c r="A823" s="1"/>
      <c r="B823" s="1"/>
      <c r="C823" s="103">
        <v>43111</v>
      </c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</row>
    <row r="824" spans="1:16" s="28" customFormat="1" hidden="1" x14ac:dyDescent="0.35">
      <c r="A824" s="1"/>
      <c r="B824" s="1"/>
      <c r="C824" s="103">
        <v>43112</v>
      </c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</row>
    <row r="825" spans="1:16" s="28" customFormat="1" hidden="1" x14ac:dyDescent="0.35">
      <c r="A825" s="1"/>
      <c r="B825" s="1"/>
      <c r="C825" s="103">
        <v>43113</v>
      </c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</row>
    <row r="826" spans="1:16" s="28" customFormat="1" hidden="1" x14ac:dyDescent="0.35">
      <c r="A826" s="1"/>
      <c r="B826" s="1"/>
      <c r="C826" s="103">
        <v>43114</v>
      </c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</row>
    <row r="827" spans="1:16" s="28" customFormat="1" hidden="1" x14ac:dyDescent="0.35">
      <c r="A827" s="1"/>
      <c r="B827" s="1"/>
      <c r="C827" s="103">
        <v>43115</v>
      </c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</row>
    <row r="828" spans="1:16" s="28" customFormat="1" hidden="1" x14ac:dyDescent="0.35">
      <c r="A828" s="1"/>
      <c r="B828" s="1"/>
      <c r="C828" s="103">
        <v>43116</v>
      </c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</row>
    <row r="829" spans="1:16" s="28" customFormat="1" hidden="1" x14ac:dyDescent="0.35">
      <c r="A829" s="1"/>
      <c r="B829" s="1"/>
      <c r="C829" s="103">
        <v>43117</v>
      </c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</row>
    <row r="830" spans="1:16" s="28" customFormat="1" hidden="1" x14ac:dyDescent="0.35">
      <c r="A830" s="1"/>
      <c r="B830" s="1"/>
      <c r="C830" s="103">
        <v>43118</v>
      </c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</row>
    <row r="831" spans="1:16" s="28" customFormat="1" hidden="1" x14ac:dyDescent="0.35">
      <c r="A831" s="1"/>
      <c r="B831" s="1"/>
      <c r="C831" s="103">
        <v>43119</v>
      </c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</row>
    <row r="832" spans="1:16" s="28" customFormat="1" hidden="1" x14ac:dyDescent="0.35">
      <c r="A832" s="1"/>
      <c r="B832" s="1"/>
      <c r="C832" s="103">
        <v>43120</v>
      </c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</row>
    <row r="833" spans="1:16" s="28" customFormat="1" hidden="1" x14ac:dyDescent="0.35">
      <c r="A833" s="1"/>
      <c r="B833" s="1"/>
      <c r="C833" s="103">
        <v>43121</v>
      </c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</row>
    <row r="834" spans="1:16" s="28" customFormat="1" hidden="1" x14ac:dyDescent="0.35">
      <c r="A834" s="1"/>
      <c r="B834" s="1"/>
      <c r="C834" s="103">
        <v>43122</v>
      </c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</row>
    <row r="835" spans="1:16" s="28" customFormat="1" hidden="1" x14ac:dyDescent="0.35">
      <c r="A835" s="1"/>
      <c r="B835" s="1"/>
      <c r="C835" s="103">
        <v>43123</v>
      </c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</row>
    <row r="836" spans="1:16" s="28" customFormat="1" hidden="1" x14ac:dyDescent="0.35">
      <c r="A836" s="1"/>
      <c r="B836" s="1"/>
      <c r="C836" s="103">
        <v>43124</v>
      </c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</row>
    <row r="837" spans="1:16" s="28" customFormat="1" hidden="1" x14ac:dyDescent="0.35">
      <c r="A837" s="1"/>
      <c r="B837" s="1"/>
      <c r="C837" s="103">
        <v>43125</v>
      </c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</row>
    <row r="838" spans="1:16" s="28" customFormat="1" hidden="1" x14ac:dyDescent="0.35">
      <c r="A838" s="1"/>
      <c r="B838" s="1"/>
      <c r="C838" s="103">
        <v>43126</v>
      </c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</row>
    <row r="839" spans="1:16" s="28" customFormat="1" hidden="1" x14ac:dyDescent="0.35">
      <c r="A839" s="1"/>
      <c r="B839" s="1"/>
      <c r="C839" s="103">
        <v>43127</v>
      </c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</row>
    <row r="840" spans="1:16" s="28" customFormat="1" hidden="1" x14ac:dyDescent="0.35">
      <c r="A840" s="1"/>
      <c r="B840" s="1"/>
      <c r="C840" s="103">
        <v>43128</v>
      </c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</row>
    <row r="841" spans="1:16" s="28" customFormat="1" hidden="1" x14ac:dyDescent="0.35">
      <c r="A841" s="1"/>
      <c r="B841" s="1"/>
      <c r="C841" s="103">
        <v>43129</v>
      </c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</row>
    <row r="842" spans="1:16" s="28" customFormat="1" hidden="1" x14ac:dyDescent="0.35">
      <c r="A842" s="1"/>
      <c r="B842" s="1"/>
      <c r="C842" s="103">
        <v>43130</v>
      </c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</row>
    <row r="843" spans="1:16" s="28" customFormat="1" hidden="1" x14ac:dyDescent="0.35">
      <c r="A843" s="1"/>
      <c r="B843" s="1"/>
      <c r="C843" s="103">
        <v>43131</v>
      </c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</row>
    <row r="844" spans="1:16" s="28" customFormat="1" hidden="1" x14ac:dyDescent="0.35">
      <c r="A844" s="1"/>
      <c r="B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</row>
    <row r="845" spans="1:16" x14ac:dyDescent="0.35"/>
    <row r="846" spans="1:16" x14ac:dyDescent="0.35"/>
    <row r="847" spans="1:16" x14ac:dyDescent="0.35"/>
    <row r="848" spans="1:16" x14ac:dyDescent="0.35"/>
    <row r="849" x14ac:dyDescent="0.35"/>
    <row r="850" x14ac:dyDescent="0.35"/>
    <row r="851" x14ac:dyDescent="0.35"/>
    <row r="852" x14ac:dyDescent="0.35"/>
    <row r="853" x14ac:dyDescent="0.35"/>
    <row r="854" x14ac:dyDescent="0.35"/>
  </sheetData>
  <mergeCells count="42">
    <mergeCell ref="A2:P2"/>
    <mergeCell ref="K5:L5"/>
    <mergeCell ref="M5:N5"/>
    <mergeCell ref="A6:P7"/>
    <mergeCell ref="B8:O8"/>
    <mergeCell ref="C9:E9"/>
    <mergeCell ref="G9:N9"/>
    <mergeCell ref="C10:E10"/>
    <mergeCell ref="G10:N10"/>
    <mergeCell ref="C11:E11"/>
    <mergeCell ref="B14:O14"/>
    <mergeCell ref="C17:N18"/>
    <mergeCell ref="C25:N25"/>
    <mergeCell ref="B30:O30"/>
    <mergeCell ref="E32:G32"/>
    <mergeCell ref="I32:L32"/>
    <mergeCell ref="C78:E78"/>
    <mergeCell ref="F78:K78"/>
    <mergeCell ref="G11:N11"/>
    <mergeCell ref="M32:N32"/>
    <mergeCell ref="F76:K76"/>
    <mergeCell ref="C53:N54"/>
    <mergeCell ref="C58:L58"/>
    <mergeCell ref="K60:N60"/>
    <mergeCell ref="C69:O69"/>
    <mergeCell ref="K70:N70"/>
    <mergeCell ref="M72:N72"/>
    <mergeCell ref="C39:D39"/>
    <mergeCell ref="I39:L39"/>
    <mergeCell ref="M39:N39"/>
    <mergeCell ref="C43:N44"/>
    <mergeCell ref="C48:N48"/>
    <mergeCell ref="C63:L63"/>
    <mergeCell ref="I36:L36"/>
    <mergeCell ref="M36:N36"/>
    <mergeCell ref="M34:N34"/>
    <mergeCell ref="B76:E76"/>
    <mergeCell ref="G50:H50"/>
    <mergeCell ref="K50:N50"/>
    <mergeCell ref="E34:G34"/>
    <mergeCell ref="I34:L34"/>
    <mergeCell ref="E36:G36"/>
  </mergeCells>
  <dataValidations count="1">
    <dataValidation type="list" allowBlank="1" showInputMessage="1" showErrorMessage="1" sqref="M32" xr:uid="{00000000-0002-0000-0100-000000000000}">
      <formula1>$K$83:$K$94</formula1>
    </dataValidation>
  </dataValidations>
  <printOptions horizontalCentered="1"/>
  <pageMargins left="0.23622047244094491" right="0.23622047244094491" top="1.434375" bottom="1.5354330708661419" header="0.59055118110236227" footer="0.74803149606299213"/>
  <pageSetup paperSize="5" scale="85" orientation="portrait" r:id="rId1"/>
  <headerFooter>
    <oddHeader xml:space="preserve">&amp;L    &amp;G&amp;C&amp;"Montserrat,Negrita"&amp;K0070C0
CERTIFICACIÓN CUMPLIMIENTO DEL 
CONTRATISTA&amp;R&amp;G  </oddHeader>
    <oddFooter>&amp;L&amp;"Montserrat,Normal"&amp;9&amp;K000000
Dirección: Calle 24A No. 59-42 Torre 4 Piso 3 
Centro Empresarial Sarmiento Angulo
Conmutador: (+601) 307 8038
Línea gratuita: 01 8000 119703&amp;C&amp;9&amp;P de &amp;N
FOR-GCO-360-068
11/10/2023 Version: 19
&amp;G&amp;R&amp;G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R65"/>
  <sheetViews>
    <sheetView showGridLines="0" view="pageLayout" topLeftCell="A7" zoomScaleNormal="120" zoomScaleSheetLayoutView="129" workbookViewId="0">
      <selection activeCell="C14" sqref="C14:H17"/>
    </sheetView>
  </sheetViews>
  <sheetFormatPr baseColWidth="10" defaultColWidth="11.42578125" defaultRowHeight="15" zeroHeight="1" x14ac:dyDescent="0.3"/>
  <cols>
    <col min="1" max="1" width="11.28515625" style="28" customWidth="1"/>
    <col min="2" max="2" width="2.42578125" style="28" customWidth="1"/>
    <col min="3" max="3" width="9.42578125" style="28" customWidth="1"/>
    <col min="4" max="4" width="11.42578125" style="28"/>
    <col min="5" max="5" width="5.85546875" style="28" customWidth="1"/>
    <col min="6" max="6" width="9" style="28" customWidth="1"/>
    <col min="7" max="7" width="11.42578125" style="28"/>
    <col min="8" max="8" width="12.7109375" style="28" customWidth="1"/>
    <col min="9" max="9" width="1.140625" style="28" customWidth="1"/>
    <col min="10" max="10" width="11" style="28" customWidth="1"/>
    <col min="11" max="11" width="22.42578125" style="28" customWidth="1"/>
    <col min="12" max="12" width="1.5703125" style="28" customWidth="1"/>
    <col min="13" max="16384" width="11.42578125" style="28"/>
  </cols>
  <sheetData>
    <row r="1" spans="1:18" x14ac:dyDescent="0.3">
      <c r="A1" s="620" t="s">
        <v>637</v>
      </c>
      <c r="B1" s="620"/>
      <c r="C1" s="620"/>
      <c r="D1" s="620"/>
      <c r="E1" s="620"/>
      <c r="F1" s="620"/>
      <c r="G1" s="620"/>
      <c r="H1" s="620"/>
      <c r="I1" s="29"/>
      <c r="J1" s="629" t="s">
        <v>655</v>
      </c>
      <c r="K1" s="629"/>
    </row>
    <row r="2" spans="1:18" x14ac:dyDescent="0.3">
      <c r="A2" s="620"/>
      <c r="B2" s="620"/>
      <c r="C2" s="620"/>
      <c r="D2" s="620"/>
      <c r="E2" s="620"/>
      <c r="F2" s="620"/>
      <c r="G2" s="620"/>
      <c r="H2" s="620"/>
      <c r="I2" s="29"/>
      <c r="J2" s="629"/>
      <c r="K2" s="629"/>
    </row>
    <row r="3" spans="1:18" x14ac:dyDescent="0.3">
      <c r="A3" s="636" t="s">
        <v>638</v>
      </c>
      <c r="B3" s="636"/>
      <c r="C3" s="640">
        <f>'CERTIFICACION SUPERVISION'!I8</f>
        <v>0</v>
      </c>
      <c r="D3" s="641"/>
      <c r="E3" s="641"/>
      <c r="F3" s="641"/>
      <c r="G3" s="641"/>
      <c r="H3" s="642"/>
      <c r="I3" s="29"/>
      <c r="J3" s="629"/>
      <c r="K3" s="629"/>
    </row>
    <row r="4" spans="1:18" x14ac:dyDescent="0.3">
      <c r="A4" s="636" t="s">
        <v>639</v>
      </c>
      <c r="B4" s="636"/>
      <c r="C4" s="633" t="s">
        <v>1289</v>
      </c>
      <c r="D4" s="634"/>
      <c r="E4" s="634"/>
      <c r="F4" s="634"/>
      <c r="G4" s="634"/>
      <c r="H4" s="635"/>
      <c r="I4" s="29"/>
      <c r="J4" s="638" t="str">
        <f>'CERTIFICACION SUPERVISION'!AE2</f>
        <v>0134</v>
      </c>
      <c r="K4" s="639" t="str">
        <f>'CERTIFICACION SUPERVISION'!AH2</f>
        <v>2</v>
      </c>
    </row>
    <row r="5" spans="1:18" x14ac:dyDescent="0.3">
      <c r="A5" s="636" t="s">
        <v>640</v>
      </c>
      <c r="B5" s="636"/>
      <c r="C5" s="633">
        <v>3102375684</v>
      </c>
      <c r="D5" s="634"/>
      <c r="E5" s="634"/>
      <c r="F5" s="634"/>
      <c r="G5" s="634"/>
      <c r="H5" s="635"/>
      <c r="I5" s="29"/>
      <c r="J5" s="638"/>
      <c r="K5" s="620"/>
    </row>
    <row r="6" spans="1:18" ht="18" customHeight="1" x14ac:dyDescent="0.3">
      <c r="A6" s="636" t="s">
        <v>641</v>
      </c>
      <c r="B6" s="636"/>
      <c r="C6" s="633" t="s">
        <v>1285</v>
      </c>
      <c r="D6" s="634"/>
      <c r="E6" s="634"/>
      <c r="F6" s="634"/>
      <c r="G6" s="634"/>
      <c r="H6" s="635"/>
      <c r="I6" s="29"/>
      <c r="J6" s="637" t="s">
        <v>642</v>
      </c>
      <c r="K6" s="637" t="s">
        <v>643</v>
      </c>
    </row>
    <row r="7" spans="1:18" ht="18" customHeight="1" x14ac:dyDescent="0.3">
      <c r="A7" s="636" t="s">
        <v>644</v>
      </c>
      <c r="B7" s="636"/>
      <c r="C7" s="633">
        <f>'CERTIFICACION SUPERVISION'!V8</f>
        <v>1014181256</v>
      </c>
      <c r="D7" s="634"/>
      <c r="E7" s="634"/>
      <c r="F7" s="634"/>
      <c r="G7" s="634"/>
      <c r="H7" s="635"/>
      <c r="I7" s="29"/>
      <c r="J7" s="637"/>
      <c r="K7" s="637"/>
    </row>
    <row r="8" spans="1:18" x14ac:dyDescent="0.3">
      <c r="A8" s="30"/>
      <c r="B8" s="30"/>
      <c r="C8" s="30"/>
      <c r="D8" s="30"/>
      <c r="E8" s="30"/>
      <c r="F8" s="30"/>
      <c r="G8" s="30"/>
      <c r="H8" s="30"/>
      <c r="I8" s="29"/>
      <c r="J8" s="31"/>
      <c r="K8" s="31"/>
    </row>
    <row r="9" spans="1:18" x14ac:dyDescent="0.3">
      <c r="A9" s="620" t="s">
        <v>645</v>
      </c>
      <c r="B9" s="620"/>
      <c r="C9" s="620"/>
      <c r="D9" s="620"/>
      <c r="E9" s="620"/>
      <c r="F9" s="620"/>
      <c r="G9" s="620"/>
      <c r="H9" s="620"/>
      <c r="I9" s="620"/>
      <c r="J9" s="620"/>
      <c r="K9" s="620"/>
    </row>
    <row r="10" spans="1:18" x14ac:dyDescent="0.3">
      <c r="A10" s="31"/>
      <c r="B10" s="31"/>
      <c r="C10" s="31"/>
      <c r="D10" s="31"/>
      <c r="E10" s="31"/>
      <c r="F10" s="31"/>
      <c r="G10" s="31"/>
      <c r="H10" s="31"/>
      <c r="I10" s="29"/>
      <c r="J10" s="31"/>
      <c r="K10" s="31"/>
    </row>
    <row r="11" spans="1:18" ht="15.75" thickBot="1" x14ac:dyDescent="0.35">
      <c r="A11" s="27"/>
      <c r="B11" s="27"/>
      <c r="C11" s="31"/>
      <c r="D11" s="31"/>
      <c r="E11" s="31"/>
      <c r="F11" s="31"/>
      <c r="G11" s="31"/>
      <c r="H11" s="31"/>
      <c r="I11" s="29"/>
      <c r="J11" s="30"/>
      <c r="K11" s="31"/>
      <c r="O11" s="32"/>
      <c r="P11" s="32"/>
      <c r="Q11" s="32"/>
      <c r="R11" s="32"/>
    </row>
    <row r="12" spans="1:18" ht="15" customHeight="1" x14ac:dyDescent="0.3">
      <c r="A12" s="624" t="s">
        <v>646</v>
      </c>
      <c r="B12" s="624"/>
      <c r="C12" s="624" t="s">
        <v>647</v>
      </c>
      <c r="D12" s="624"/>
      <c r="E12" s="624"/>
      <c r="F12" s="624"/>
      <c r="G12" s="624"/>
      <c r="H12" s="624"/>
      <c r="I12" s="29"/>
      <c r="J12" s="455">
        <f>'CERTIFICACION SUPERVISION'!J42</f>
        <v>3500000</v>
      </c>
      <c r="K12" s="535"/>
    </row>
    <row r="13" spans="1:18" ht="15" customHeight="1" x14ac:dyDescent="0.3">
      <c r="A13" s="624"/>
      <c r="B13" s="624"/>
      <c r="C13" s="624"/>
      <c r="D13" s="624"/>
      <c r="E13" s="624"/>
      <c r="F13" s="624"/>
      <c r="G13" s="624"/>
      <c r="H13" s="624"/>
      <c r="I13" s="33"/>
      <c r="J13" s="625"/>
      <c r="K13" s="626"/>
    </row>
    <row r="14" spans="1:18" ht="12.75" customHeight="1" x14ac:dyDescent="0.3">
      <c r="A14" s="627" t="str">
        <f>'CERTIFICACION SUPERVISION'!AE2</f>
        <v>0134</v>
      </c>
      <c r="B14" s="627"/>
      <c r="C14" s="628" t="str">
        <f>'CERTIFICACION SUPERVISION'!G12</f>
        <v>Prestar servicios de apoyo a la gestión para fortalecer la ejecución de las actividades propias de la superintendencia de vigilancia y seguridad privada, en marco del proyecto de inversión denominado IMPLEMENTACIÓN DE UN SISTEMA DE TOMA DE DECISIONES, PARA EL MEJORAMIENTO DE LOS TIEMPOS DE RESPUESTA DE LOS TRÁMITES Y PROCESOS ADMINISTRATIVOS DE LA SUPERINTENDENCIA DE VIGILANCIA Y SEGURIDAD PRIVADA- CDPS-0134-2024</v>
      </c>
      <c r="D14" s="628"/>
      <c r="E14" s="628"/>
      <c r="F14" s="628"/>
      <c r="G14" s="628"/>
      <c r="H14" s="628"/>
      <c r="I14" s="33"/>
      <c r="J14" s="625"/>
      <c r="K14" s="626"/>
    </row>
    <row r="15" spans="1:18" ht="15" customHeight="1" x14ac:dyDescent="0.3">
      <c r="A15" s="627"/>
      <c r="B15" s="627"/>
      <c r="C15" s="628"/>
      <c r="D15" s="628"/>
      <c r="E15" s="628"/>
      <c r="F15" s="628"/>
      <c r="G15" s="628"/>
      <c r="H15" s="628"/>
      <c r="I15" s="33"/>
      <c r="J15" s="625"/>
      <c r="K15" s="626"/>
    </row>
    <row r="16" spans="1:18" ht="15" customHeight="1" x14ac:dyDescent="0.3">
      <c r="A16" s="627"/>
      <c r="B16" s="627"/>
      <c r="C16" s="628"/>
      <c r="D16" s="628"/>
      <c r="E16" s="628"/>
      <c r="F16" s="628"/>
      <c r="G16" s="628"/>
      <c r="H16" s="628"/>
      <c r="I16" s="33"/>
      <c r="J16" s="625"/>
      <c r="K16" s="626"/>
    </row>
    <row r="17" spans="1:11" ht="92.25" customHeight="1" x14ac:dyDescent="0.3">
      <c r="A17" s="627"/>
      <c r="B17" s="627"/>
      <c r="C17" s="628"/>
      <c r="D17" s="628"/>
      <c r="E17" s="628"/>
      <c r="F17" s="628"/>
      <c r="G17" s="628"/>
      <c r="H17" s="628"/>
      <c r="I17" s="33"/>
      <c r="J17" s="625"/>
      <c r="K17" s="626"/>
    </row>
    <row r="18" spans="1:11" ht="15" customHeight="1" x14ac:dyDescent="0.3">
      <c r="A18" s="27"/>
      <c r="B18" s="27"/>
      <c r="C18" s="34"/>
      <c r="D18" s="34"/>
      <c r="E18" s="34"/>
      <c r="F18" s="34"/>
      <c r="G18" s="34"/>
      <c r="H18" s="34"/>
      <c r="I18" s="33"/>
      <c r="J18" s="625"/>
      <c r="K18" s="626"/>
    </row>
    <row r="19" spans="1:11" ht="15" customHeight="1" x14ac:dyDescent="0.3">
      <c r="A19" s="629" t="s">
        <v>648</v>
      </c>
      <c r="B19" s="629"/>
      <c r="C19" s="629"/>
      <c r="D19" s="621" t="str">
        <f>'CERTIFICACION SUPERVISION'!I59</f>
        <v xml:space="preserve">Cuenta de ahorros </v>
      </c>
      <c r="E19" s="622"/>
      <c r="F19" s="622"/>
      <c r="G19" s="622"/>
      <c r="H19" s="623"/>
      <c r="I19" s="33"/>
      <c r="J19" s="625"/>
      <c r="K19" s="626"/>
    </row>
    <row r="20" spans="1:11" ht="15" customHeight="1" x14ac:dyDescent="0.3">
      <c r="A20" s="38"/>
      <c r="B20" s="38"/>
      <c r="C20" s="337"/>
      <c r="D20" s="34"/>
      <c r="E20" s="34"/>
      <c r="F20" s="34"/>
      <c r="G20" s="34"/>
      <c r="H20" s="34"/>
      <c r="I20" s="33"/>
      <c r="J20" s="625"/>
      <c r="K20" s="626"/>
    </row>
    <row r="21" spans="1:11" ht="15" customHeight="1" x14ac:dyDescent="0.3">
      <c r="A21" s="604" t="s">
        <v>649</v>
      </c>
      <c r="B21" s="604"/>
      <c r="C21" s="604"/>
      <c r="D21" s="630" t="str">
        <f>'CERTIFICACION SUPERVISION'!T59</f>
        <v>24093443939</v>
      </c>
      <c r="E21" s="631"/>
      <c r="F21" s="631"/>
      <c r="G21" s="631"/>
      <c r="H21" s="632"/>
      <c r="I21" s="33"/>
      <c r="J21" s="625"/>
      <c r="K21" s="626"/>
    </row>
    <row r="22" spans="1:11" ht="15" customHeight="1" x14ac:dyDescent="0.3">
      <c r="A22" s="67"/>
      <c r="B22" s="67"/>
      <c r="C22" s="67"/>
      <c r="D22" s="31"/>
      <c r="E22" s="31"/>
      <c r="F22" s="31"/>
      <c r="G22" s="31"/>
      <c r="H22" s="31"/>
      <c r="I22" s="33"/>
      <c r="J22" s="625"/>
      <c r="K22" s="626"/>
    </row>
    <row r="23" spans="1:11" ht="15.75" customHeight="1" thickBot="1" x14ac:dyDescent="0.35">
      <c r="A23" s="620" t="s">
        <v>650</v>
      </c>
      <c r="B23" s="620"/>
      <c r="C23" s="620"/>
      <c r="D23" s="633" t="str">
        <f>'CERTIFICACION SUPERVISION'!AE59</f>
        <v>Banco Caja Social BCSC S.A.</v>
      </c>
      <c r="E23" s="634"/>
      <c r="F23" s="634"/>
      <c r="G23" s="634"/>
      <c r="H23" s="635"/>
      <c r="I23" s="33"/>
      <c r="J23" s="457"/>
      <c r="K23" s="536"/>
    </row>
    <row r="24" spans="1:11" x14ac:dyDescent="0.3">
      <c r="A24" s="27"/>
      <c r="B24" s="27"/>
      <c r="C24" s="34"/>
      <c r="D24" s="34"/>
      <c r="E24" s="34"/>
      <c r="F24" s="34"/>
      <c r="G24" s="34"/>
      <c r="H24" s="34"/>
      <c r="I24" s="29"/>
      <c r="J24" s="31"/>
      <c r="K24" s="35"/>
    </row>
    <row r="25" spans="1:11" ht="56.25" customHeight="1" x14ac:dyDescent="0.3">
      <c r="A25" s="614" t="s">
        <v>656</v>
      </c>
      <c r="B25" s="615"/>
      <c r="C25" s="616"/>
      <c r="D25" s="617" t="str">
        <f>'CERTIFICACION SUPERVISION'!R42</f>
        <v>TRES MILLONES QUINIENTOS  MIL  PESOS M/CTE</v>
      </c>
      <c r="E25" s="618"/>
      <c r="F25" s="618"/>
      <c r="G25" s="618"/>
      <c r="H25" s="618"/>
      <c r="I25" s="618"/>
      <c r="J25" s="618"/>
      <c r="K25" s="619"/>
    </row>
    <row r="26" spans="1:11" x14ac:dyDescent="0.3">
      <c r="A26" s="67"/>
      <c r="B26" s="67"/>
      <c r="C26" s="67"/>
      <c r="D26" s="31"/>
      <c r="E26" s="31"/>
      <c r="F26" s="31"/>
      <c r="G26" s="31"/>
      <c r="H26" s="31"/>
      <c r="I26" s="31"/>
      <c r="J26" s="31"/>
      <c r="K26" s="31"/>
    </row>
    <row r="27" spans="1:11" x14ac:dyDescent="0.3">
      <c r="A27" s="67"/>
      <c r="B27" s="67"/>
      <c r="C27" s="67"/>
      <c r="D27" s="31"/>
      <c r="E27" s="31"/>
      <c r="F27" s="31"/>
      <c r="G27" s="31"/>
      <c r="H27" s="31"/>
      <c r="I27" s="29"/>
      <c r="J27" s="31"/>
      <c r="K27" s="31"/>
    </row>
    <row r="28" spans="1:11" x14ac:dyDescent="0.3">
      <c r="A28" s="609" t="s">
        <v>651</v>
      </c>
      <c r="B28" s="609"/>
      <c r="C28" s="609"/>
      <c r="D28" s="610" t="str">
        <f>' CUMPLIMIENTO CONTRATISTA'!G11</f>
        <v>No responsable</v>
      </c>
      <c r="E28" s="611"/>
      <c r="F28" s="611"/>
      <c r="G28" s="611"/>
      <c r="H28" s="611"/>
      <c r="I28" s="611"/>
      <c r="J28" s="611"/>
      <c r="K28" s="612"/>
    </row>
    <row r="29" spans="1:11" x14ac:dyDescent="0.3">
      <c r="A29" s="38"/>
      <c r="B29" s="38"/>
      <c r="C29" s="38"/>
      <c r="D29" s="27"/>
      <c r="E29" s="27"/>
      <c r="F29" s="27"/>
      <c r="G29" s="27"/>
      <c r="H29" s="27"/>
      <c r="I29" s="27"/>
      <c r="J29" s="27"/>
      <c r="K29" s="27"/>
    </row>
    <row r="30" spans="1:11" x14ac:dyDescent="0.3">
      <c r="A30" s="609" t="s">
        <v>652</v>
      </c>
      <c r="B30" s="609"/>
      <c r="C30" s="609"/>
      <c r="D30" s="613">
        <f>'CERTIFICACION SUPERVISION'!T61</f>
        <v>10</v>
      </c>
      <c r="E30" s="613"/>
      <c r="F30" s="613"/>
      <c r="G30" s="613"/>
      <c r="H30" s="613"/>
      <c r="I30" s="613"/>
      <c r="J30" s="613"/>
      <c r="K30" s="613"/>
    </row>
    <row r="31" spans="1:11" x14ac:dyDescent="0.3">
      <c r="A31" s="38"/>
      <c r="B31" s="38"/>
      <c r="C31" s="38"/>
      <c r="D31" s="27"/>
      <c r="E31" s="27"/>
      <c r="F31" s="27"/>
      <c r="G31" s="27"/>
      <c r="H31" s="27"/>
      <c r="I31" s="27"/>
      <c r="J31" s="27"/>
      <c r="K31" s="27"/>
    </row>
    <row r="32" spans="1:11" x14ac:dyDescent="0.3">
      <c r="A32" s="604" t="s">
        <v>653</v>
      </c>
      <c r="B32" s="604"/>
      <c r="C32" s="604"/>
      <c r="D32" s="605" t="str">
        <f>C6</f>
        <v>BOGOTA</v>
      </c>
      <c r="E32" s="605"/>
      <c r="F32" s="605"/>
      <c r="G32" s="605"/>
      <c r="H32" s="605"/>
      <c r="I32" s="605"/>
      <c r="J32" s="605"/>
      <c r="K32" s="605"/>
    </row>
    <row r="33" spans="1:11" x14ac:dyDescent="0.3">
      <c r="A33" s="31"/>
      <c r="B33" s="31"/>
      <c r="C33" s="31"/>
      <c r="D33" s="31"/>
      <c r="E33" s="31"/>
      <c r="F33" s="31"/>
      <c r="G33" s="31"/>
      <c r="H33" s="27"/>
      <c r="I33" s="31"/>
      <c r="J33" s="31"/>
      <c r="K33" s="31"/>
    </row>
    <row r="34" spans="1:11" ht="45" customHeight="1" x14ac:dyDescent="0.3">
      <c r="A34" s="606" t="s">
        <v>654</v>
      </c>
      <c r="B34" s="606"/>
      <c r="C34" s="606"/>
      <c r="D34" s="606"/>
      <c r="E34" s="606"/>
      <c r="F34" s="606"/>
      <c r="G34" s="606"/>
      <c r="H34" s="606"/>
      <c r="I34" s="606"/>
      <c r="J34" s="606"/>
      <c r="K34" s="606"/>
    </row>
    <row r="35" spans="1:11" ht="28.5" customHeight="1" x14ac:dyDescent="0.3">
      <c r="A35" s="36"/>
      <c r="B35" s="36"/>
      <c r="C35" s="36"/>
      <c r="D35" s="36"/>
      <c r="E35" s="36"/>
      <c r="F35" s="36"/>
      <c r="G35" s="36"/>
      <c r="H35" s="36"/>
      <c r="I35" s="36"/>
      <c r="J35" s="36"/>
      <c r="K35" s="36"/>
    </row>
    <row r="36" spans="1:11" x14ac:dyDescent="0.3">
      <c r="A36" s="30"/>
      <c r="B36" s="31"/>
      <c r="C36" s="607" t="s">
        <v>27</v>
      </c>
      <c r="D36" s="607"/>
      <c r="E36" s="608">
        <f>' CUMPLIMIENTO CONTRATISTA'!F76</f>
        <v>0</v>
      </c>
      <c r="F36" s="608"/>
      <c r="G36" s="608"/>
      <c r="H36" s="608"/>
      <c r="I36" s="37"/>
      <c r="J36" s="37"/>
      <c r="K36" s="31"/>
    </row>
    <row r="37" spans="1:11" ht="25.5" customHeight="1" x14ac:dyDescent="0.3">
      <c r="A37" s="31"/>
      <c r="B37" s="31"/>
      <c r="C37" s="67"/>
      <c r="D37" s="67"/>
      <c r="E37" s="31"/>
      <c r="F37" s="31"/>
      <c r="G37" s="31"/>
      <c r="H37" s="31"/>
      <c r="I37" s="31"/>
      <c r="J37" s="31"/>
      <c r="K37" s="31"/>
    </row>
    <row r="38" spans="1:11" x14ac:dyDescent="0.3">
      <c r="A38" s="31"/>
      <c r="B38" s="31"/>
      <c r="C38" s="607" t="s">
        <v>621</v>
      </c>
      <c r="D38" s="607"/>
      <c r="E38" s="608"/>
      <c r="F38" s="608"/>
      <c r="G38" s="608"/>
      <c r="H38" s="608"/>
      <c r="I38" s="31"/>
      <c r="J38" s="31"/>
      <c r="K38" s="31"/>
    </row>
    <row r="39" spans="1:11" x14ac:dyDescent="0.3">
      <c r="A39" s="30"/>
      <c r="B39" s="31"/>
      <c r="C39" s="67"/>
      <c r="D39" s="67"/>
      <c r="E39" s="31"/>
      <c r="F39" s="31"/>
      <c r="G39" s="31"/>
      <c r="H39" s="31"/>
      <c r="I39" s="31"/>
      <c r="J39" s="31"/>
      <c r="K39" s="31"/>
    </row>
    <row r="40" spans="1:11" ht="8.25" customHeight="1" x14ac:dyDescent="0.3">
      <c r="A40" s="603"/>
      <c r="B40" s="603"/>
      <c r="C40" s="603"/>
      <c r="D40" s="603"/>
      <c r="E40" s="603"/>
      <c r="F40" s="603"/>
      <c r="G40" s="603"/>
      <c r="H40" s="603"/>
      <c r="I40" s="603"/>
      <c r="J40" s="603"/>
      <c r="K40" s="603"/>
    </row>
    <row r="41" spans="1:11" x14ac:dyDescent="0.3"/>
    <row r="42" spans="1:11" x14ac:dyDescent="0.3"/>
    <row r="43" spans="1:11" x14ac:dyDescent="0.3"/>
    <row r="44" spans="1:11" x14ac:dyDescent="0.3"/>
    <row r="45" spans="1:11" x14ac:dyDescent="0.3"/>
    <row r="46" spans="1:11" x14ac:dyDescent="0.3"/>
    <row r="47" spans="1:11" x14ac:dyDescent="0.3"/>
    <row r="48" spans="1:11" x14ac:dyDescent="0.3"/>
    <row r="49" x14ac:dyDescent="0.3"/>
    <row r="50" x14ac:dyDescent="0.3"/>
    <row r="51" x14ac:dyDescent="0.3"/>
    <row r="52" x14ac:dyDescent="0.3"/>
    <row r="53" x14ac:dyDescent="0.3"/>
    <row r="54" x14ac:dyDescent="0.3"/>
    <row r="55" x14ac:dyDescent="0.3"/>
    <row r="56" x14ac:dyDescent="0.3"/>
    <row r="57" x14ac:dyDescent="0.3"/>
    <row r="58" x14ac:dyDescent="0.3"/>
    <row r="59" x14ac:dyDescent="0.3"/>
    <row r="60" x14ac:dyDescent="0.3"/>
    <row r="61" x14ac:dyDescent="0.3"/>
    <row r="62" x14ac:dyDescent="0.3"/>
    <row r="63" x14ac:dyDescent="0.3"/>
    <row r="64" x14ac:dyDescent="0.3"/>
    <row r="65" x14ac:dyDescent="0.3"/>
  </sheetData>
  <mergeCells count="42">
    <mergeCell ref="A1:H2"/>
    <mergeCell ref="J1:K3"/>
    <mergeCell ref="A3:B3"/>
    <mergeCell ref="A4:B4"/>
    <mergeCell ref="C4:H4"/>
    <mergeCell ref="J4:J5"/>
    <mergeCell ref="K4:K5"/>
    <mergeCell ref="A5:B5"/>
    <mergeCell ref="C5:H5"/>
    <mergeCell ref="C3:H3"/>
    <mergeCell ref="A6:B6"/>
    <mergeCell ref="C6:H6"/>
    <mergeCell ref="J6:J7"/>
    <mergeCell ref="K6:K7"/>
    <mergeCell ref="A7:B7"/>
    <mergeCell ref="C7:H7"/>
    <mergeCell ref="A9:K9"/>
    <mergeCell ref="D19:H19"/>
    <mergeCell ref="A12:B13"/>
    <mergeCell ref="C12:H13"/>
    <mergeCell ref="J12:K23"/>
    <mergeCell ref="A14:B17"/>
    <mergeCell ref="C14:H17"/>
    <mergeCell ref="A19:C19"/>
    <mergeCell ref="A21:C21"/>
    <mergeCell ref="D21:H21"/>
    <mergeCell ref="A23:C23"/>
    <mergeCell ref="D23:H23"/>
    <mergeCell ref="A28:C28"/>
    <mergeCell ref="D28:K28"/>
    <mergeCell ref="A30:C30"/>
    <mergeCell ref="D30:K30"/>
    <mergeCell ref="A25:C25"/>
    <mergeCell ref="D25:K25"/>
    <mergeCell ref="A40:K40"/>
    <mergeCell ref="A32:C32"/>
    <mergeCell ref="D32:K32"/>
    <mergeCell ref="A34:K34"/>
    <mergeCell ref="C36:D36"/>
    <mergeCell ref="C38:D38"/>
    <mergeCell ref="E38:H38"/>
    <mergeCell ref="E36:H36"/>
  </mergeCells>
  <printOptions horizontalCentered="1"/>
  <pageMargins left="0.59055118110236227" right="0.82677165354330717" top="1.0166666666666666" bottom="1.2204724409448819" header="0.31496062992125984" footer="0.43307086614173229"/>
  <pageSetup paperSize="5" scale="80" fitToWidth="0" fitToHeight="0" orientation="portrait" r:id="rId1"/>
  <headerFooter>
    <oddHeader>&amp;L&amp;G&amp;C&amp;"Montserrat,Negrita"&amp;K03+034DOCUMENTO EQUIVALENTE 
A LA FACTURA &amp;R&amp;G</oddHeader>
    <oddFooter>&amp;L&amp;"Montserrat,Normal"&amp;6&amp;K000000
Dirección: Calle 24A No. 59-42 Torre 4 Piso 3 
Centro Empresarial Sarmiento Angulo
Conmutador: (+601) 307 8038
Línea gratuita: 01 8000 119703&amp;C&amp;9
&amp;P de &amp;N
FOR-GCO-360-068
11/10/2023 Version: 19
&amp;G&amp;R&amp;G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>
    <pageSetUpPr fitToPage="1"/>
  </sheetPr>
  <dimension ref="A1:R38"/>
  <sheetViews>
    <sheetView view="pageLayout" zoomScaleNormal="110" zoomScaleSheetLayoutView="160" workbookViewId="0">
      <selection activeCell="I12" sqref="I12:R12"/>
    </sheetView>
  </sheetViews>
  <sheetFormatPr baseColWidth="10" defaultColWidth="11.42578125" defaultRowHeight="18" zeroHeight="1" x14ac:dyDescent="0.35"/>
  <cols>
    <col min="1" max="1" width="4.28515625" style="1" customWidth="1"/>
    <col min="2" max="2" width="2" style="1" customWidth="1"/>
    <col min="3" max="4" width="9.7109375" style="1" customWidth="1"/>
    <col min="5" max="5" width="9.140625" style="1" customWidth="1"/>
    <col min="6" max="6" width="8.42578125" style="1" customWidth="1"/>
    <col min="7" max="7" width="7" style="1" customWidth="1"/>
    <col min="8" max="8" width="10.42578125" style="1" customWidth="1"/>
    <col min="9" max="9" width="4.7109375" style="1" customWidth="1"/>
    <col min="10" max="10" width="2.85546875" style="1" customWidth="1"/>
    <col min="11" max="11" width="5.7109375" style="1" customWidth="1"/>
    <col min="12" max="12" width="4" style="1" customWidth="1"/>
    <col min="13" max="13" width="11.42578125" style="1"/>
    <col min="14" max="14" width="1.85546875" style="1" customWidth="1"/>
    <col min="15" max="15" width="5.85546875" style="1" customWidth="1"/>
    <col min="16" max="16" width="13.7109375" style="1" customWidth="1"/>
    <col min="17" max="17" width="7.28515625" style="1" customWidth="1"/>
    <col min="18" max="18" width="1.42578125" style="1" customWidth="1"/>
    <col min="19" max="16384" width="11.42578125" style="1"/>
  </cols>
  <sheetData>
    <row r="1" spans="1:18" s="5" customFormat="1" ht="1.5" customHeight="1" x14ac:dyDescent="0.25">
      <c r="A1" s="2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4"/>
    </row>
    <row r="2" spans="1:18" s="5" customFormat="1" ht="13.5" x14ac:dyDescent="0.25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8"/>
    </row>
    <row r="3" spans="1:18" s="5" customFormat="1" ht="15" customHeight="1" x14ac:dyDescent="0.25">
      <c r="A3" s="6"/>
      <c r="B3" s="379" t="s">
        <v>605</v>
      </c>
      <c r="C3" s="379"/>
      <c r="D3" s="379"/>
      <c r="E3" s="657">
        <f>'CERTIFICACION SUPERVISION'!I8</f>
        <v>0</v>
      </c>
      <c r="F3" s="657"/>
      <c r="G3" s="657"/>
      <c r="H3" s="657"/>
      <c r="I3" s="657"/>
      <c r="J3" s="657"/>
      <c r="K3" s="657"/>
      <c r="L3" s="652" t="s">
        <v>668</v>
      </c>
      <c r="M3" s="652"/>
      <c r="N3" s="652"/>
      <c r="O3" s="656" t="str">
        <f>'CERTIFICACION SUPERVISION'!AE2</f>
        <v>0134</v>
      </c>
      <c r="P3" s="656"/>
      <c r="Q3" s="7"/>
      <c r="R3" s="8"/>
    </row>
    <row r="4" spans="1:18" s="5" customFormat="1" ht="13.5" x14ac:dyDescent="0.25">
      <c r="A4" s="6"/>
      <c r="B4" s="9"/>
      <c r="C4" s="9"/>
      <c r="D4" s="9"/>
      <c r="E4" s="12"/>
      <c r="F4" s="12"/>
      <c r="G4" s="12"/>
      <c r="H4" s="12"/>
      <c r="I4" s="12"/>
      <c r="J4" s="12"/>
      <c r="K4" s="12"/>
      <c r="L4" s="13"/>
      <c r="M4" s="9"/>
      <c r="N4" s="9"/>
      <c r="O4" s="14"/>
      <c r="P4" s="14"/>
      <c r="Q4" s="7"/>
      <c r="R4" s="8"/>
    </row>
    <row r="5" spans="1:18" s="5" customFormat="1" ht="13.5" x14ac:dyDescent="0.25">
      <c r="A5" s="6"/>
      <c r="B5" s="379" t="s">
        <v>544</v>
      </c>
      <c r="C5" s="379"/>
      <c r="D5" s="379"/>
      <c r="E5" s="657" t="str">
        <f>'CERTIFICACION SUPERVISION'!AE8</f>
        <v xml:space="preserve">OFICINA DE SISTEMAS </v>
      </c>
      <c r="F5" s="657"/>
      <c r="G5" s="657"/>
      <c r="H5" s="657"/>
      <c r="I5" s="657"/>
      <c r="J5" s="657"/>
      <c r="K5" s="657"/>
      <c r="L5" s="13"/>
      <c r="M5" s="9"/>
      <c r="N5" s="9"/>
      <c r="O5" s="14"/>
      <c r="P5" s="14"/>
      <c r="Q5" s="7"/>
      <c r="R5" s="8"/>
    </row>
    <row r="6" spans="1:18" s="5" customFormat="1" ht="13.5" x14ac:dyDescent="0.25">
      <c r="A6" s="6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8"/>
    </row>
    <row r="7" spans="1:18" s="5" customFormat="1" ht="13.5" x14ac:dyDescent="0.25">
      <c r="A7" s="6"/>
      <c r="B7" s="379" t="s">
        <v>657</v>
      </c>
      <c r="C7" s="379"/>
      <c r="D7" s="15" t="str">
        <f>'CERTIFICACION SUPERVISION'!J20</f>
        <v>2</v>
      </c>
      <c r="E7" s="16" t="s">
        <v>669</v>
      </c>
      <c r="F7" s="10">
        <f>'CERTIFICACION SUPERVISION'!O20</f>
        <v>12</v>
      </c>
      <c r="G7" s="12"/>
      <c r="H7" s="12"/>
      <c r="I7" s="652"/>
      <c r="J7" s="652"/>
      <c r="K7" s="652"/>
      <c r="L7" s="652"/>
      <c r="M7" s="12"/>
      <c r="N7" s="7"/>
      <c r="O7" s="11"/>
      <c r="P7" s="651"/>
      <c r="Q7" s="651"/>
      <c r="R7" s="8"/>
    </row>
    <row r="8" spans="1:18" s="5" customFormat="1" ht="13.5" x14ac:dyDescent="0.25">
      <c r="A8" s="17"/>
      <c r="B8" s="18"/>
      <c r="C8" s="18"/>
      <c r="D8" s="19"/>
      <c r="E8" s="20"/>
      <c r="F8" s="20"/>
      <c r="G8" s="20"/>
      <c r="H8" s="20"/>
      <c r="I8" s="21"/>
      <c r="J8" s="21"/>
      <c r="K8" s="22"/>
      <c r="L8" s="22"/>
      <c r="M8" s="22"/>
      <c r="N8" s="21"/>
      <c r="O8" s="21"/>
      <c r="P8" s="354"/>
      <c r="Q8" s="18"/>
      <c r="R8" s="23"/>
    </row>
    <row r="9" spans="1:18" s="5" customFormat="1" ht="4.5" customHeight="1" x14ac:dyDescent="0.25">
      <c r="A9" s="7"/>
      <c r="B9" s="7"/>
      <c r="C9" s="7"/>
      <c r="D9" s="7"/>
      <c r="E9" s="7"/>
      <c r="F9" s="7"/>
      <c r="G9" s="7"/>
      <c r="H9" s="7"/>
      <c r="I9" s="21"/>
      <c r="J9" s="21"/>
      <c r="K9" s="21"/>
      <c r="L9" s="21"/>
      <c r="M9" s="21"/>
      <c r="N9" s="21"/>
      <c r="O9" s="21"/>
      <c r="P9" s="21"/>
      <c r="Q9" s="21"/>
      <c r="R9" s="21"/>
    </row>
    <row r="10" spans="1:18" s="5" customFormat="1" ht="13.5" x14ac:dyDescent="0.25">
      <c r="A10" s="478" t="s">
        <v>658</v>
      </c>
      <c r="B10" s="479"/>
      <c r="C10" s="479"/>
      <c r="D10" s="479"/>
      <c r="E10" s="479"/>
      <c r="F10" s="479"/>
      <c r="G10" s="479"/>
      <c r="H10" s="480"/>
      <c r="I10" s="478" t="s">
        <v>659</v>
      </c>
      <c r="J10" s="479"/>
      <c r="K10" s="479"/>
      <c r="L10" s="479"/>
      <c r="M10" s="479"/>
      <c r="N10" s="479"/>
      <c r="O10" s="479"/>
      <c r="P10" s="479"/>
      <c r="Q10" s="479"/>
      <c r="R10" s="480"/>
    </row>
    <row r="11" spans="1:18" ht="70.5" customHeight="1" x14ac:dyDescent="0.35">
      <c r="A11" s="653">
        <v>1</v>
      </c>
      <c r="B11" s="653"/>
      <c r="C11" s="516" t="s">
        <v>1291</v>
      </c>
      <c r="D11" s="517"/>
      <c r="E11" s="517"/>
      <c r="F11" s="517"/>
      <c r="G11" s="517"/>
      <c r="H11" s="518"/>
      <c r="I11" s="674" t="s">
        <v>1303</v>
      </c>
      <c r="J11" s="674"/>
      <c r="K11" s="674"/>
      <c r="L11" s="674"/>
      <c r="M11" s="674"/>
      <c r="N11" s="674"/>
      <c r="O11" s="674"/>
      <c r="P11" s="674"/>
      <c r="Q11" s="674"/>
      <c r="R11" s="674"/>
    </row>
    <row r="12" spans="1:18" ht="60.75" customHeight="1" x14ac:dyDescent="0.35">
      <c r="A12" s="654">
        <v>2</v>
      </c>
      <c r="B12" s="655"/>
      <c r="C12" s="516" t="s">
        <v>1292</v>
      </c>
      <c r="D12" s="517"/>
      <c r="E12" s="517"/>
      <c r="F12" s="517"/>
      <c r="G12" s="517"/>
      <c r="H12" s="518"/>
      <c r="I12" s="674" t="s">
        <v>1304</v>
      </c>
      <c r="J12" s="674"/>
      <c r="K12" s="674"/>
      <c r="L12" s="674"/>
      <c r="M12" s="674"/>
      <c r="N12" s="674"/>
      <c r="O12" s="674"/>
      <c r="P12" s="674"/>
      <c r="Q12" s="674"/>
      <c r="R12" s="674"/>
    </row>
    <row r="13" spans="1:18" ht="70.5" customHeight="1" x14ac:dyDescent="0.35">
      <c r="A13" s="653">
        <v>3</v>
      </c>
      <c r="B13" s="653"/>
      <c r="C13" s="516" t="s">
        <v>1293</v>
      </c>
      <c r="D13" s="517"/>
      <c r="E13" s="517"/>
      <c r="F13" s="517"/>
      <c r="G13" s="517"/>
      <c r="H13" s="518"/>
      <c r="I13" s="675" t="s">
        <v>1299</v>
      </c>
      <c r="J13" s="676"/>
      <c r="K13" s="676"/>
      <c r="L13" s="676"/>
      <c r="M13" s="676"/>
      <c r="N13" s="676"/>
      <c r="O13" s="676"/>
      <c r="P13" s="676"/>
      <c r="Q13" s="676"/>
      <c r="R13" s="677"/>
    </row>
    <row r="14" spans="1:18" ht="70.5" customHeight="1" x14ac:dyDescent="0.35">
      <c r="A14" s="649">
        <v>4</v>
      </c>
      <c r="B14" s="650"/>
      <c r="C14" s="643" t="s">
        <v>1294</v>
      </c>
      <c r="D14" s="644"/>
      <c r="E14" s="644"/>
      <c r="F14" s="644"/>
      <c r="G14" s="644"/>
      <c r="H14" s="645"/>
      <c r="I14" s="646" t="s">
        <v>1300</v>
      </c>
      <c r="J14" s="647"/>
      <c r="K14" s="647"/>
      <c r="L14" s="647"/>
      <c r="M14" s="647"/>
      <c r="N14" s="647"/>
      <c r="O14" s="647"/>
      <c r="P14" s="647"/>
      <c r="Q14" s="647"/>
      <c r="R14" s="648"/>
    </row>
    <row r="15" spans="1:18" ht="70.5" customHeight="1" x14ac:dyDescent="0.35">
      <c r="A15" s="649">
        <v>5</v>
      </c>
      <c r="B15" s="650"/>
      <c r="C15" s="643" t="s">
        <v>1295</v>
      </c>
      <c r="D15" s="644"/>
      <c r="E15" s="644"/>
      <c r="F15" s="644"/>
      <c r="G15" s="644"/>
      <c r="H15" s="645"/>
      <c r="I15" s="646" t="s">
        <v>1301</v>
      </c>
      <c r="J15" s="647"/>
      <c r="K15" s="647"/>
      <c r="L15" s="647"/>
      <c r="M15" s="647"/>
      <c r="N15" s="647"/>
      <c r="O15" s="647"/>
      <c r="P15" s="647"/>
      <c r="Q15" s="647"/>
      <c r="R15" s="648"/>
    </row>
    <row r="16" spans="1:18" ht="70.5" customHeight="1" x14ac:dyDescent="0.35">
      <c r="A16" s="649">
        <v>6</v>
      </c>
      <c r="B16" s="650"/>
      <c r="C16" s="643" t="s">
        <v>1296</v>
      </c>
      <c r="D16" s="644"/>
      <c r="E16" s="644"/>
      <c r="F16" s="644"/>
      <c r="G16" s="644"/>
      <c r="H16" s="645"/>
      <c r="I16" s="646" t="s">
        <v>1305</v>
      </c>
      <c r="J16" s="647"/>
      <c r="K16" s="647"/>
      <c r="L16" s="647"/>
      <c r="M16" s="647"/>
      <c r="N16" s="647"/>
      <c r="O16" s="647"/>
      <c r="P16" s="647"/>
      <c r="Q16" s="647"/>
      <c r="R16" s="648"/>
    </row>
    <row r="17" spans="1:18" ht="70.5" customHeight="1" x14ac:dyDescent="0.35">
      <c r="A17" s="649">
        <v>7</v>
      </c>
      <c r="B17" s="650"/>
      <c r="C17" s="643" t="s">
        <v>1297</v>
      </c>
      <c r="D17" s="644"/>
      <c r="E17" s="644"/>
      <c r="F17" s="644"/>
      <c r="G17" s="644"/>
      <c r="H17" s="645"/>
      <c r="I17" s="646" t="s">
        <v>1302</v>
      </c>
      <c r="J17" s="647"/>
      <c r="K17" s="647"/>
      <c r="L17" s="647"/>
      <c r="M17" s="647"/>
      <c r="N17" s="647"/>
      <c r="O17" s="647"/>
      <c r="P17" s="647"/>
      <c r="Q17" s="647"/>
      <c r="R17" s="648"/>
    </row>
    <row r="18" spans="1:18" x14ac:dyDescent="0.35">
      <c r="A18" s="672" t="s">
        <v>1264</v>
      </c>
      <c r="B18" s="673"/>
      <c r="C18" s="673"/>
      <c r="D18" s="673"/>
      <c r="E18" s="673"/>
      <c r="F18" s="673"/>
      <c r="G18" s="673"/>
      <c r="H18" s="673"/>
      <c r="I18" s="673"/>
      <c r="J18" s="673"/>
      <c r="K18" s="673"/>
      <c r="L18" s="673"/>
      <c r="M18" s="673"/>
      <c r="N18" s="673"/>
      <c r="O18" s="673"/>
      <c r="P18" s="673"/>
      <c r="Q18" s="673"/>
      <c r="R18" s="338"/>
    </row>
    <row r="19" spans="1:18" ht="24" customHeight="1" x14ac:dyDescent="0.35">
      <c r="A19" s="669"/>
      <c r="B19" s="670"/>
      <c r="C19" s="670"/>
      <c r="D19" s="670"/>
      <c r="E19" s="670"/>
      <c r="F19" s="670"/>
      <c r="G19" s="670"/>
      <c r="H19" s="670"/>
      <c r="I19" s="670"/>
      <c r="J19" s="670"/>
      <c r="K19" s="670"/>
      <c r="L19" s="670"/>
      <c r="M19" s="670"/>
      <c r="N19" s="670"/>
      <c r="O19" s="670"/>
      <c r="P19" s="670"/>
      <c r="Q19" s="670"/>
      <c r="R19" s="671"/>
    </row>
    <row r="20" spans="1:18" s="5" customFormat="1" ht="82.5" customHeight="1" x14ac:dyDescent="0.25">
      <c r="A20" s="663" t="s">
        <v>1240</v>
      </c>
      <c r="B20" s="664"/>
      <c r="C20" s="664"/>
      <c r="D20" s="664"/>
      <c r="E20" s="664"/>
      <c r="F20" s="664"/>
      <c r="G20" s="664"/>
      <c r="H20" s="665"/>
      <c r="I20" s="662" t="s">
        <v>1274</v>
      </c>
      <c r="J20" s="662"/>
      <c r="K20" s="662"/>
      <c r="L20" s="662"/>
      <c r="M20" s="662"/>
      <c r="N20" s="662"/>
      <c r="O20" s="662"/>
      <c r="P20" s="662"/>
      <c r="Q20" s="662"/>
      <c r="R20" s="662"/>
    </row>
    <row r="21" spans="1:18" ht="62.25" customHeight="1" x14ac:dyDescent="0.35">
      <c r="A21" s="666" t="s">
        <v>670</v>
      </c>
      <c r="B21" s="667"/>
      <c r="C21" s="667"/>
      <c r="D21" s="667"/>
      <c r="E21" s="667"/>
      <c r="F21" s="667"/>
      <c r="G21" s="667"/>
      <c r="H21" s="668"/>
      <c r="I21" s="659" t="s">
        <v>671</v>
      </c>
      <c r="J21" s="660"/>
      <c r="K21" s="660"/>
      <c r="L21" s="660"/>
      <c r="M21" s="660"/>
      <c r="N21" s="660"/>
      <c r="O21" s="660"/>
      <c r="P21" s="660"/>
      <c r="Q21" s="660"/>
      <c r="R21" s="661"/>
    </row>
    <row r="22" spans="1:18" ht="4.5" customHeight="1" x14ac:dyDescent="0.35">
      <c r="A22" s="24"/>
      <c r="B22" s="25"/>
      <c r="C22" s="25"/>
      <c r="D22" s="25"/>
      <c r="E22" s="25"/>
      <c r="F22" s="25"/>
      <c r="G22" s="26"/>
      <c r="I22" s="24"/>
      <c r="J22" s="25"/>
      <c r="K22" s="25"/>
      <c r="L22" s="25"/>
      <c r="M22" s="25"/>
      <c r="N22" s="25"/>
      <c r="O22" s="25"/>
      <c r="P22" s="25"/>
      <c r="Q22" s="25"/>
      <c r="R22" s="26"/>
    </row>
    <row r="23" spans="1:18" ht="3.75" customHeight="1" x14ac:dyDescent="0.35">
      <c r="A23" s="658"/>
      <c r="B23" s="658"/>
      <c r="C23" s="658"/>
      <c r="D23" s="658"/>
      <c r="E23" s="658"/>
      <c r="F23" s="658"/>
      <c r="G23" s="658"/>
      <c r="H23" s="658"/>
      <c r="I23" s="658"/>
      <c r="J23" s="658"/>
      <c r="K23" s="658"/>
      <c r="L23" s="658"/>
      <c r="M23" s="658"/>
      <c r="N23" s="658"/>
      <c r="O23" s="658"/>
      <c r="P23" s="658"/>
      <c r="Q23" s="658"/>
      <c r="R23" s="658"/>
    </row>
    <row r="24" spans="1:18" x14ac:dyDescent="0.35"/>
    <row r="25" spans="1:18" hidden="1" x14ac:dyDescent="0.35">
      <c r="C25" s="1">
        <v>2021</v>
      </c>
    </row>
    <row r="26" spans="1:18" hidden="1" x14ac:dyDescent="0.35">
      <c r="C26" s="1">
        <v>2022</v>
      </c>
    </row>
    <row r="27" spans="1:18" hidden="1" x14ac:dyDescent="0.35">
      <c r="C27" s="1">
        <v>2023</v>
      </c>
    </row>
    <row r="28" spans="1:18" hidden="1" x14ac:dyDescent="0.35">
      <c r="C28" s="1">
        <v>2024</v>
      </c>
    </row>
    <row r="29" spans="1:18" x14ac:dyDescent="0.35"/>
    <row r="30" spans="1:18" x14ac:dyDescent="0.35"/>
    <row r="31" spans="1:18" x14ac:dyDescent="0.35"/>
    <row r="32" spans="1:18" x14ac:dyDescent="0.35"/>
    <row r="33" x14ac:dyDescent="0.35"/>
    <row r="34" x14ac:dyDescent="0.35"/>
    <row r="35" x14ac:dyDescent="0.35"/>
    <row r="36" x14ac:dyDescent="0.35"/>
    <row r="37" x14ac:dyDescent="0.35"/>
    <row r="38" x14ac:dyDescent="0.35"/>
  </sheetData>
  <mergeCells count="39">
    <mergeCell ref="A19:R19"/>
    <mergeCell ref="A18:Q18"/>
    <mergeCell ref="I12:R12"/>
    <mergeCell ref="I13:R13"/>
    <mergeCell ref="I10:R10"/>
    <mergeCell ref="C11:H11"/>
    <mergeCell ref="A10:H10"/>
    <mergeCell ref="I11:R11"/>
    <mergeCell ref="A13:B13"/>
    <mergeCell ref="C13:H13"/>
    <mergeCell ref="C12:H12"/>
    <mergeCell ref="C14:H14"/>
    <mergeCell ref="I14:R14"/>
    <mergeCell ref="C15:H15"/>
    <mergeCell ref="I15:R15"/>
    <mergeCell ref="A14:B14"/>
    <mergeCell ref="A23:R23"/>
    <mergeCell ref="I21:R21"/>
    <mergeCell ref="I20:R20"/>
    <mergeCell ref="A20:H20"/>
    <mergeCell ref="A21:H21"/>
    <mergeCell ref="O3:P3"/>
    <mergeCell ref="B5:D5"/>
    <mergeCell ref="B3:D3"/>
    <mergeCell ref="E3:K3"/>
    <mergeCell ref="L3:N3"/>
    <mergeCell ref="E5:K5"/>
    <mergeCell ref="C17:H17"/>
    <mergeCell ref="I17:R17"/>
    <mergeCell ref="A15:B15"/>
    <mergeCell ref="A17:B17"/>
    <mergeCell ref="P7:Q7"/>
    <mergeCell ref="I7:L7"/>
    <mergeCell ref="B7:C7"/>
    <mergeCell ref="A11:B11"/>
    <mergeCell ref="A12:B12"/>
    <mergeCell ref="C16:H16"/>
    <mergeCell ref="I16:R16"/>
    <mergeCell ref="A16:B16"/>
  </mergeCells>
  <dataValidations disablePrompts="1" count="1">
    <dataValidation type="list" allowBlank="1" showInputMessage="1" showErrorMessage="1" sqref="P7:Q7" xr:uid="{00000000-0002-0000-0300-000000000000}">
      <formula1>$C$25:$C$28</formula1>
    </dataValidation>
  </dataValidations>
  <printOptions horizontalCentered="1"/>
  <pageMargins left="0.51181102362204722" right="0.59055118110236227" top="1.0629921259842521" bottom="1.2598425196850394" header="0.31496062992125984" footer="0.47244094488188981"/>
  <pageSetup paperSize="5" scale="78" orientation="portrait" r:id="rId1"/>
  <headerFooter>
    <oddHeader>&amp;L&amp;G&amp;C&amp;"Montserrat,Negrita"&amp;K0070C0INFORME DETALLADO 
DE ACTIVIDADES&amp;R&amp;G</oddHeader>
    <oddFooter>&amp;L&amp;"Montserrat,Normal"&amp;6
&amp;9Dirección: Calle 24A No. 59-42 Torre 4 Piso 3 
Centro Empresarial Sarmiento Angulo
Conmutador: (+601) 307 8038
Línea gratuita: 01 8000 119703&amp;C&amp;8&amp;P de &amp;N
FOR-GCO-360-068
11/10/2023 Version: 19&amp;11
&amp;G&amp;R&amp;G</oddFooter>
  </headerFooter>
  <rowBreaks count="1" manualBreakCount="1">
    <brk id="23" max="16383" man="1"/>
  </rowBreaks>
  <drawing r:id="rId2"/>
  <legacyDrawing r:id="rId3"/>
  <legacyDrawingHF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6</vt:i4>
      </vt:variant>
    </vt:vector>
  </HeadingPairs>
  <TitlesOfParts>
    <vt:vector size="10" baseType="lpstr">
      <vt:lpstr>CERTIFICACION SUPERVISION</vt:lpstr>
      <vt:lpstr> CUMPLIMIENTO CONTRATISTA</vt:lpstr>
      <vt:lpstr>DOC. EQUIVALENTE FACTURA</vt:lpstr>
      <vt:lpstr>INFORME ACTIVIDADES</vt:lpstr>
      <vt:lpstr>' CUMPLIMIENTO CONTRATISTA'!Área_de_impresión</vt:lpstr>
      <vt:lpstr>'CERTIFICACION SUPERVISION'!Área_de_impresión</vt:lpstr>
      <vt:lpstr>'DOC. EQUIVALENTE FACTURA'!Área_de_impresión</vt:lpstr>
      <vt:lpstr>'INFORME ACTIVIDADES'!Área_de_impresión</vt:lpstr>
      <vt:lpstr>MOD_CONT</vt:lpstr>
      <vt:lpstr>SIGLA_MOD_CONT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Oficina de Informatica Y sistemas</dc:creator>
  <cp:lastModifiedBy>DIEGO MELO</cp:lastModifiedBy>
  <cp:lastPrinted>2024-03-05T19:00:32Z</cp:lastPrinted>
  <dcterms:created xsi:type="dcterms:W3CDTF">2012-03-13T22:27:47Z</dcterms:created>
  <dcterms:modified xsi:type="dcterms:W3CDTF">2025-06-20T22:46:24Z</dcterms:modified>
</cp:coreProperties>
</file>